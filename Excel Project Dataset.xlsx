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Manju\Downloads\"/>
    </mc:Choice>
  </mc:AlternateContent>
  <xr:revisionPtr revIDLastSave="0" documentId="13_ncr:1_{6584670D-7D6B-41ED-A186-EDDD1BBAD4D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s" sheetId="5" r:id="rId3"/>
    <sheet name="Dashboard" sheetId="6" r:id="rId4"/>
  </sheets>
  <definedNames>
    <definedName name="_xlnm._FilterDatabase" localSheetId="0" hidden="1">bike_buyers!$A$1:$M$1001</definedName>
    <definedName name="_xlnm._FilterDatabase" localSheetId="1" hidden="1">'Working Sheet'!$A$1:$Z$1001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<sst xmlns="http://schemas.openxmlformats.org/spreadsheetml/2006/main" count="16274" uniqueCount="52">
  <si>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</si>
  <si>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</si>
  <si>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</si>
  <si>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</si>
  <si>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</si>
  <si>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</si>
  <si>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</si>
  <si>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</si>
  <si>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</si>
  <si>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</si>
  <si>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</si>
  <si>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</si>
  <si>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</si>
  <si>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</si>
  <si>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</si>
  <si>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</si>
  <si>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</si>
  <si>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</si>
  <si>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</si>
  <si>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</si>
  <si>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</si>
  <si>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</si>
  <si>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</si>
  <si>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</si>
  <si>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</si>
  <si>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</si>
  <si>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</si>
  <si>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</si>
  <si>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</si>
  <si>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</si>
  <si>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</si>
  <si>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</si>
  <si>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</si>
  <si>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</si>
  <si>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</si>
  <si>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</si>
  <si>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</si>
  <si>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</si>
  <si>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CarSingle</t>
  </si>
  <si>
    <t>Male</t>
  </si>
  <si>
    <t>Female</t>
  </si>
  <si>
    <t>Age Brackets</t>
  </si>
  <si>
    <t>Row Labels</t>
  </si>
  <si>
    <t>Grand Total</t>
  </si>
  <si>
    <t>Average of Income</t>
  </si>
  <si>
    <t>Column Labels</t>
  </si>
  <si>
    <t>Count of Purchased Bike</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</si>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</sst>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5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3" defaultTableStyle="TableStyleMedium2" defaultPivotStyle="PivotStyleLight16">
    <tableStyle name="Slicer Style 1" pivot="0" table="0" count="1" xr9:uid="{FB036BC8-6524-4382-9589-95A0A5C053F9}"/>
    <tableStyle name="Slicer Style 2" pivot="0" table="0" count="1" xr9:uid="{DDF2CAFB-8F11-4696-86F8-505B5CEADB73}"/>
    <tableStyle name="Slicer Style 3" pivot="0" table="0" count="1" xr9:uid="{69303E11-2546-493D-BC14-C0B309C744FD}"/>
  </tableStyles>
  <colors>
    <mruColors>
      <color rgb="FFD85675"/>
      <color rgb="FFE6546C"/>
      <color rgb="FFFF4F6C"/>
      <color rgb="FFC43658"/>
      <color rgb="FF8A0000"/>
      <color rgb="FFCC2E2E"/>
    </mruColors>
  </colors>
  <extLst>
    <ext xmlns:x14="http://schemas.microsoft.com/office/spreadsheetml/2009/9/main" uri="{46F421CA-312F-682f-3DD2-61675219B42D}">
      <x14:dxfs count="3">
        <dxf>
          <fill>
            <patternFill>
              <bgColor rgb="FFD85675"/>
            </patternFill>
          </fill>
        </dxf>
        <dxf>
          <fill>
            <patternFill>
              <bgColor rgb="FFE6546C"/>
            </patternFill>
          </fill>
        </dxf>
        <dxf>
          <font>
            <color rgb="FFFF4F6C"/>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unselectedItemWithData" dxfId="1"/>
          </x14:slicerStyleElements>
        </x14:slicerStyle>
        <x14:slicerStyle name="Slicer Style 3">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54885.496183206109</c:v>
                </c:pt>
                <c:pt idx="1">
                  <c:v>59431.818181818184</c:v>
                </c:pt>
              </c:numCache>
            </c:numRef>
          </c:val>
          <c:extLst>
            <c:ext xmlns:c16="http://schemas.microsoft.com/office/drawing/2014/chart" uri="{C3380CC4-5D6E-409C-BE32-E72D297353CC}">
              <c16:uniqueId val="{00000000-ECB6-4052-9712-4954EC436475}"/>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59259.259259259263</c:v>
                </c:pt>
                <c:pt idx="1">
                  <c:v>61300.813008130084</c:v>
                </c:pt>
              </c:numCache>
            </c:numRef>
          </c:val>
          <c:extLst>
            <c:ext xmlns:c16="http://schemas.microsoft.com/office/drawing/2014/chart" uri="{C3380CC4-5D6E-409C-BE32-E72D297353CC}">
              <c16:uniqueId val="{00000001-ECB6-4052-9712-4954EC436475}"/>
            </c:ext>
          </c:extLst>
        </c:ser>
        <c:dLbls>
          <c:showLegendKey val="0"/>
          <c:showVal val="0"/>
          <c:showCatName val="0"/>
          <c:showSerName val="0"/>
          <c:showPercent val="0"/>
          <c:showBubbleSize val="0"/>
        </c:dLbls>
        <c:gapWidth val="219"/>
        <c:overlap val="-27"/>
        <c:axId val="2090857999"/>
        <c:axId val="1915099375"/>
      </c:barChart>
      <c:catAx>
        <c:axId val="2090857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99375"/>
        <c:crosses val="autoZero"/>
        <c:auto val="1"/>
        <c:lblAlgn val="ctr"/>
        <c:lblOffset val="100"/>
        <c:noMultiLvlLbl val="0"/>
      </c:catAx>
      <c:valAx>
        <c:axId val="191509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857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layout>
        <c:manualLayout>
          <c:xMode val="edge"/>
          <c:yMode val="edge"/>
          <c:x val="0.35977994750656167"/>
          <c:y val="0.141567971219413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Tables'!$B$17:$B$18</c:f>
              <c:strCache>
                <c:ptCount val="1"/>
                <c:pt idx="0">
                  <c:v>No</c:v>
                </c:pt>
              </c:strCache>
            </c:strRef>
          </c:tx>
          <c:spPr>
            <a:ln w="28575" cap="rnd">
              <a:solidFill>
                <a:schemeClr val="accent1"/>
              </a:solidFill>
              <a:round/>
            </a:ln>
            <a:effectLst/>
          </c:spPr>
          <c:marker>
            <c:symbol val="none"/>
          </c:marker>
          <c:cat>
            <c:strRef>
              <c:f>'Pivot Tables'!$A$19:$A$24</c:f>
              <c:strCache>
                <c:ptCount val="5"/>
                <c:pt idx="0">
                  <c:v>0-1 Miles</c:v>
                </c:pt>
                <c:pt idx="1">
                  <c:v>1-2 Miles</c:v>
                </c:pt>
                <c:pt idx="2">
                  <c:v>2-5 Miles</c:v>
                </c:pt>
                <c:pt idx="3">
                  <c:v>5-10 Miles</c:v>
                </c:pt>
                <c:pt idx="4">
                  <c:v>More than 10 Miles</c:v>
                </c:pt>
              </c:strCache>
            </c:strRef>
          </c:cat>
          <c:val>
            <c:numRef>
              <c:f>'Pivot Tables'!$B$19:$B$24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278D-4450-A9F7-FD7D307AB819}"/>
            </c:ext>
          </c:extLst>
        </c:ser>
        <c:ser>
          <c:idx val="1"/>
          <c:order val="1"/>
          <c:tx>
            <c:strRef>
              <c:f>'Pivot Tables'!$C$17:$C$18</c:f>
              <c:strCache>
                <c:ptCount val="1"/>
                <c:pt idx="0">
                  <c:v>Yes</c:v>
                </c:pt>
              </c:strCache>
            </c:strRef>
          </c:tx>
          <c:spPr>
            <a:ln w="28575" cap="rnd">
              <a:solidFill>
                <a:schemeClr val="accent2"/>
              </a:solidFill>
              <a:round/>
            </a:ln>
            <a:effectLst/>
          </c:spPr>
          <c:marker>
            <c:symbol val="none"/>
          </c:marker>
          <c:cat>
            <c:strRef>
              <c:f>'Pivot Tables'!$A$19:$A$24</c:f>
              <c:strCache>
                <c:ptCount val="5"/>
                <c:pt idx="0">
                  <c:v>0-1 Miles</c:v>
                </c:pt>
                <c:pt idx="1">
                  <c:v>1-2 Miles</c:v>
                </c:pt>
                <c:pt idx="2">
                  <c:v>2-5 Miles</c:v>
                </c:pt>
                <c:pt idx="3">
                  <c:v>5-10 Miles</c:v>
                </c:pt>
                <c:pt idx="4">
                  <c:v>More than 10 Miles</c:v>
                </c:pt>
              </c:strCache>
            </c:strRef>
          </c:cat>
          <c:val>
            <c:numRef>
              <c:f>'Pivot Tables'!$C$19:$C$24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278D-4450-A9F7-FD7D307AB819}"/>
            </c:ext>
          </c:extLst>
        </c:ser>
        <c:dLbls>
          <c:showLegendKey val="0"/>
          <c:showVal val="0"/>
          <c:showCatName val="0"/>
          <c:showSerName val="0"/>
          <c:showPercent val="0"/>
          <c:showBubbleSize val="0"/>
        </c:dLbls>
        <c:smooth val="0"/>
        <c:axId val="92140559"/>
        <c:axId val="1915102255"/>
      </c:lineChart>
      <c:catAx>
        <c:axId val="9214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102255"/>
        <c:crosses val="autoZero"/>
        <c:auto val="1"/>
        <c:lblAlgn val="ctr"/>
        <c:lblOffset val="100"/>
        <c:noMultiLvlLbl val="0"/>
      </c:catAx>
      <c:valAx>
        <c:axId val="191510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4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Tables'!$A$34:$A$37</c:f>
              <c:strCache>
                <c:ptCount val="3"/>
                <c:pt idx="0">
                  <c:v>Adolescent 0-30</c:v>
                </c:pt>
                <c:pt idx="1">
                  <c:v>Middle Age 31-54</c:v>
                </c:pt>
                <c:pt idx="2">
                  <c:v>Old 55+</c:v>
                </c:pt>
              </c:strCache>
            </c:strRef>
          </c:cat>
          <c:val>
            <c:numRef>
              <c:f>'Pivot Tables'!$B$34:$B$37</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E568-4674-988D-2D2C95BFC1C9}"/>
            </c:ext>
          </c:extLst>
        </c:ser>
        <c:ser>
          <c:idx val="1"/>
          <c:order val="1"/>
          <c:tx>
            <c:strRef>
              <c:f>'Pivot Tables'!$C$32:$C$33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Tables'!$A$34:$A$37</c:f>
              <c:strCache>
                <c:ptCount val="3"/>
                <c:pt idx="0">
                  <c:v>Adolescent 0-30</c:v>
                </c:pt>
                <c:pt idx="1">
                  <c:v>Middle Age 31-54</c:v>
                </c:pt>
                <c:pt idx="2">
                  <c:v>Old 55+</c:v>
                </c:pt>
              </c:strCache>
            </c:strRef>
          </c:cat>
          <c:val>
            <c:numRef>
              <c:f>'Pivot Tables'!$C$34:$C$37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E568-4674-988D-2D2C95BFC1C9}"/>
            </c:ext>
          </c:extLst>
        </c:ser>
        <c:dLbls>
          <c:showLegendKey val="0"/>
          <c:showVal val="0"/>
          <c:showCatName val="0"/>
          <c:showSerName val="0"/>
          <c:showPercent val="0"/>
          <c:showBubbleSize val="0"/>
        </c:dLbls>
        <c:marker val="1"/>
        <c:smooth val="0"/>
        <c:axId val="1242500144"/>
        <c:axId val="1221424976"/>
      </c:lineChart>
      <c:catAx>
        <c:axId val="124250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424976"/>
        <c:crosses val="autoZero"/>
        <c:auto val="1"/>
        <c:lblAlgn val="ctr"/>
        <c:lblOffset val="100"/>
        <c:noMultiLvlLbl val="0"/>
      </c:catAx>
      <c:valAx>
        <c:axId val="12214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0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54885.496183206109</c:v>
                </c:pt>
                <c:pt idx="1">
                  <c:v>59431.818181818184</c:v>
                </c:pt>
              </c:numCache>
            </c:numRef>
          </c:val>
          <c:extLst>
            <c:ext xmlns:c16="http://schemas.microsoft.com/office/drawing/2014/chart" uri="{C3380CC4-5D6E-409C-BE32-E72D297353CC}">
              <c16:uniqueId val="{00000000-F02E-43CB-B7F2-EEC5CA6A98E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59259.259259259263</c:v>
                </c:pt>
                <c:pt idx="1">
                  <c:v>61300.813008130084</c:v>
                </c:pt>
              </c:numCache>
            </c:numRef>
          </c:val>
          <c:extLst>
            <c:ext xmlns:c16="http://schemas.microsoft.com/office/drawing/2014/chart" uri="{C3380CC4-5D6E-409C-BE32-E72D297353CC}">
              <c16:uniqueId val="{00000001-F02E-43CB-B7F2-EEC5CA6A98E7}"/>
            </c:ext>
          </c:extLst>
        </c:ser>
        <c:dLbls>
          <c:showLegendKey val="0"/>
          <c:showVal val="0"/>
          <c:showCatName val="0"/>
          <c:showSerName val="0"/>
          <c:showPercent val="0"/>
          <c:showBubbleSize val="0"/>
        </c:dLbls>
        <c:gapWidth val="219"/>
        <c:overlap val="-27"/>
        <c:axId val="2090857999"/>
        <c:axId val="1915099375"/>
      </c:barChart>
      <c:catAx>
        <c:axId val="2090857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99375"/>
        <c:crosses val="autoZero"/>
        <c:auto val="1"/>
        <c:lblAlgn val="ctr"/>
        <c:lblOffset val="100"/>
        <c:noMultiLvlLbl val="0"/>
      </c:catAx>
      <c:valAx>
        <c:axId val="191509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857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layout>
        <c:manualLayout>
          <c:xMode val="edge"/>
          <c:yMode val="edge"/>
          <c:x val="0.35977994750656167"/>
          <c:y val="0.1415679712194130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Tables'!$B$17:$B$18</c:f>
              <c:strCache>
                <c:ptCount val="1"/>
                <c:pt idx="0">
                  <c:v>No</c:v>
                </c:pt>
              </c:strCache>
            </c:strRef>
          </c:tx>
          <c:spPr>
            <a:ln w="28575" cap="rnd">
              <a:solidFill>
                <a:schemeClr val="accent1"/>
              </a:solidFill>
              <a:round/>
            </a:ln>
            <a:effectLst/>
          </c:spPr>
          <c:marker>
            <c:symbol val="none"/>
          </c:marker>
          <c:cat>
            <c:strRef>
              <c:f>'Pivot Tables'!$A$19:$A$24</c:f>
              <c:strCache>
                <c:ptCount val="5"/>
                <c:pt idx="0">
                  <c:v>0-1 Miles</c:v>
                </c:pt>
                <c:pt idx="1">
                  <c:v>1-2 Miles</c:v>
                </c:pt>
                <c:pt idx="2">
                  <c:v>2-5 Miles</c:v>
                </c:pt>
                <c:pt idx="3">
                  <c:v>5-10 Miles</c:v>
                </c:pt>
                <c:pt idx="4">
                  <c:v>More than 10 Miles</c:v>
                </c:pt>
              </c:strCache>
            </c:strRef>
          </c:cat>
          <c:val>
            <c:numRef>
              <c:f>'Pivot Tables'!$B$19:$B$24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80F0-4A11-8886-624D30A86650}"/>
            </c:ext>
          </c:extLst>
        </c:ser>
        <c:ser>
          <c:idx val="1"/>
          <c:order val="1"/>
          <c:tx>
            <c:strRef>
              <c:f>'Pivot Tables'!$C$17:$C$18</c:f>
              <c:strCache>
                <c:ptCount val="1"/>
                <c:pt idx="0">
                  <c:v>Yes</c:v>
                </c:pt>
              </c:strCache>
            </c:strRef>
          </c:tx>
          <c:spPr>
            <a:ln w="28575" cap="rnd">
              <a:solidFill>
                <a:schemeClr val="accent2"/>
              </a:solidFill>
              <a:round/>
            </a:ln>
            <a:effectLst/>
          </c:spPr>
          <c:marker>
            <c:symbol val="none"/>
          </c:marker>
          <c:cat>
            <c:strRef>
              <c:f>'Pivot Tables'!$A$19:$A$24</c:f>
              <c:strCache>
                <c:ptCount val="5"/>
                <c:pt idx="0">
                  <c:v>0-1 Miles</c:v>
                </c:pt>
                <c:pt idx="1">
                  <c:v>1-2 Miles</c:v>
                </c:pt>
                <c:pt idx="2">
                  <c:v>2-5 Miles</c:v>
                </c:pt>
                <c:pt idx="3">
                  <c:v>5-10 Miles</c:v>
                </c:pt>
                <c:pt idx="4">
                  <c:v>More than 10 Miles</c:v>
                </c:pt>
              </c:strCache>
            </c:strRef>
          </c:cat>
          <c:val>
            <c:numRef>
              <c:f>'Pivot Tables'!$C$19:$C$24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80F0-4A11-8886-624D30A86650}"/>
            </c:ext>
          </c:extLst>
        </c:ser>
        <c:dLbls>
          <c:showLegendKey val="0"/>
          <c:showVal val="0"/>
          <c:showCatName val="0"/>
          <c:showSerName val="0"/>
          <c:showPercent val="0"/>
          <c:showBubbleSize val="0"/>
        </c:dLbls>
        <c:smooth val="0"/>
        <c:axId val="92140559"/>
        <c:axId val="1915102255"/>
      </c:lineChart>
      <c:catAx>
        <c:axId val="9214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102255"/>
        <c:crosses val="autoZero"/>
        <c:auto val="1"/>
        <c:lblAlgn val="ctr"/>
        <c:lblOffset val="100"/>
        <c:noMultiLvlLbl val="0"/>
      </c:catAx>
      <c:valAx>
        <c:axId val="191510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4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Tables'!$A$34:$A$37</c:f>
              <c:strCache>
                <c:ptCount val="3"/>
                <c:pt idx="0">
                  <c:v>Adolescent 0-30</c:v>
                </c:pt>
                <c:pt idx="1">
                  <c:v>Middle Age 31-54</c:v>
                </c:pt>
                <c:pt idx="2">
                  <c:v>Old 55+</c:v>
                </c:pt>
              </c:strCache>
            </c:strRef>
          </c:cat>
          <c:val>
            <c:numRef>
              <c:f>'Pivot Tables'!$B$34:$B$37</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4CB6-41EC-A2A3-7E6DE954DD02}"/>
            </c:ext>
          </c:extLst>
        </c:ser>
        <c:ser>
          <c:idx val="1"/>
          <c:order val="1"/>
          <c:tx>
            <c:strRef>
              <c:f>'Pivot Tables'!$C$32:$C$33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Tables'!$A$34:$A$37</c:f>
              <c:strCache>
                <c:ptCount val="3"/>
                <c:pt idx="0">
                  <c:v>Adolescent 0-30</c:v>
                </c:pt>
                <c:pt idx="1">
                  <c:v>Middle Age 31-54</c:v>
                </c:pt>
                <c:pt idx="2">
                  <c:v>Old 55+</c:v>
                </c:pt>
              </c:strCache>
            </c:strRef>
          </c:cat>
          <c:val>
            <c:numRef>
              <c:f>'Pivot Tables'!$C$34:$C$37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4CB6-41EC-A2A3-7E6DE954DD02}"/>
            </c:ext>
          </c:extLst>
        </c:ser>
        <c:dLbls>
          <c:showLegendKey val="0"/>
          <c:showVal val="0"/>
          <c:showCatName val="0"/>
          <c:showSerName val="0"/>
          <c:showPercent val="0"/>
          <c:showBubbleSize val="0"/>
        </c:dLbls>
        <c:marker val="1"/>
        <c:smooth val="0"/>
        <c:axId val="1242500144"/>
        <c:axId val="1221424976"/>
      </c:lineChart>
      <c:catAx>
        <c:axId val="124250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424976"/>
        <c:crosses val="autoZero"/>
        <c:auto val="1"/>
        <c:lblAlgn val="ctr"/>
        <c:lblOffset val="100"/>
        <c:noMultiLvlLbl val="0"/>
      </c:catAx>
      <c:valAx>
        <c:axId val="122142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0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586746</xdr:colOff>
      <xdr:row>0</xdr:row>
      <xdr:rowOff>110490</xdr:rowOff>
    </xdr:from>
    <xdr:to>
      <xdr:col>12</xdr:col>
      <xdr:colOff>83128</xdr:colOff>
      <xdr:row>14</xdr:row>
      <xdr:rowOff>15240</xdr:rowOff>
    </xdr:to>
    <xdr:graphicFrame macro="">
      <xdr:nvGraphicFramePr>
        <xdr:cNvPr id="2" name="Chart 1">
          <a:extLst>
            <a:ext uri="{FF2B5EF4-FFF2-40B4-BE49-F238E27FC236}">
              <a16:creationId xmlns:a16="http://schemas.microsoft.com/office/drawing/2014/main" id="{9968074C-8DC9-24D5-362C-21368C67E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579120</xdr:colOff>
      <xdr:row>16</xdr:row>
      <xdr:rowOff>3810</xdr:rowOff>
    </xdr:from>
    <xdr:to>
      <xdr:col>12</xdr:col>
      <xdr:colOff>129540</xdr:colOff>
      <xdr:row>28</xdr:row>
      <xdr:rowOff>121920</xdr:rowOff>
    </xdr:to>
    <xdr:graphicFrame macro="">
      <xdr:nvGraphicFramePr>
        <xdr:cNvPr id="3" name="Chart 2">
          <a:extLst>
            <a:ext uri="{FF2B5EF4-FFF2-40B4-BE49-F238E27FC236}">
              <a16:creationId xmlns:a16="http://schemas.microsoft.com/office/drawing/2014/main" id="{0FF2D272-6757-9A1B-E8F4-1B130FA07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532534</xdr:colOff>
      <xdr:row>30</xdr:row>
      <xdr:rowOff>152401</xdr:rowOff>
    </xdr:from>
    <xdr:to>
      <xdr:col>12</xdr:col>
      <xdr:colOff>147205</xdr:colOff>
      <xdr:row>45</xdr:row>
      <xdr:rowOff>167987</xdr:rowOff>
    </xdr:to>
    <xdr:graphicFrame macro="">
      <xdr:nvGraphicFramePr>
        <xdr:cNvPr id="6" name="Chart 5">
          <a:extLst>
            <a:ext uri="{FF2B5EF4-FFF2-40B4-BE49-F238E27FC236}">
              <a16:creationId xmlns:a16="http://schemas.microsoft.com/office/drawing/2014/main" id="{932D7F54-6861-CB15-2202-5E447FBF0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6</xdr:row>
      <xdr:rowOff>83820</xdr:rowOff>
    </xdr:from>
    <xdr:to>
      <xdr:col>9</xdr:col>
      <xdr:colOff>30479</xdr:colOff>
      <xdr:row>20</xdr:row>
      <xdr:rowOff>30480</xdr:rowOff>
    </xdr:to>
    <xdr:graphicFrame macro="">
      <xdr:nvGraphicFramePr>
        <xdr:cNvPr id="2" name="Chart 1">
          <a:extLst>
            <a:ext uri="{FF2B5EF4-FFF2-40B4-BE49-F238E27FC236}">
              <a16:creationId xmlns:a16="http://schemas.microsoft.com/office/drawing/2014/main" id="{3E1998A1-5044-430A-8A58-2C302B0D2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20</xdr:row>
      <xdr:rowOff>137161</xdr:rowOff>
    </xdr:from>
    <xdr:to>
      <xdr:col>15</xdr:col>
      <xdr:colOff>571500</xdr:colOff>
      <xdr:row>35</xdr:row>
      <xdr:rowOff>167641</xdr:rowOff>
    </xdr:to>
    <xdr:graphicFrame macro="">
      <xdr:nvGraphicFramePr>
        <xdr:cNvPr id="3" name="Chart 2">
          <a:extLst>
            <a:ext uri="{FF2B5EF4-FFF2-40B4-BE49-F238E27FC236}">
              <a16:creationId xmlns:a16="http://schemas.microsoft.com/office/drawing/2014/main" id="{1D61AB4B-6CCD-4243-B04D-FE3C2AE91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137160</xdr:colOff>
      <xdr:row>6</xdr:row>
      <xdr:rowOff>83820</xdr:rowOff>
    </xdr:from>
    <xdr:to>
      <xdr:col>15</xdr:col>
      <xdr:colOff>571500</xdr:colOff>
      <xdr:row>20</xdr:row>
      <xdr:rowOff>30480</xdr:rowOff>
    </xdr:to>
    <xdr:graphicFrame macro="">
      <xdr:nvGraphicFramePr>
        <xdr:cNvPr id="5" name="Chart 4">
          <a:extLst>
            <a:ext uri="{FF2B5EF4-FFF2-40B4-BE49-F238E27FC236}">
              <a16:creationId xmlns:a16="http://schemas.microsoft.com/office/drawing/2014/main" id="{B4DAEC8B-19C2-47AA-A65D-C755C3DD3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6</xdr:row>
      <xdr:rowOff>83821</xdr:rowOff>
    </xdr:from>
    <xdr:to>
      <xdr:col>2</xdr:col>
      <xdr:colOff>586740</xdr:colOff>
      <xdr:row>11</xdr:row>
      <xdr:rowOff>99061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23C761E-95CF-6CB9-79D4-1527AF1D9CE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0960" y="1169671"/>
              <a:ext cx="1744980" cy="920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19</xdr:row>
      <xdr:rowOff>106680</xdr:rowOff>
    </xdr:from>
    <xdr:to>
      <xdr:col>2</xdr:col>
      <xdr:colOff>601980</xdr:colOff>
      <xdr:row>29</xdr:row>
      <xdr:rowOff>76201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83D18FE-1D2E-811B-3322-AF93C22D33F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8580" y="3545205"/>
              <a:ext cx="1752600" cy="1779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11</xdr:row>
      <xdr:rowOff>175261</xdr:rowOff>
    </xdr:from>
    <xdr:to>
      <xdr:col>2</xdr:col>
      <xdr:colOff>601980</xdr:colOff>
      <xdr:row>19</xdr:row>
      <xdr:rowOff>15241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534DD77-42F2-5C65-455A-3331DFE53D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 y="2165986"/>
              <a:ext cx="176022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u" refreshedDate="46306.782327430556" createdVersion="8" refreshedVersion="8" minRefreshableVersion="3" recordCount="1000" xr:uid="{A0DA8800-753B-4BA5-B6CE-25D2BD4CECF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ingle"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347509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7D2DC-0264-47E9-A186-350BF2B6D460}"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D103" firstHeaderRow="1" firstDataRow="2" firstDataCol="1"/>
  <pivotFields count="14">
    <pivotField showAll="0"/>
    <pivotField showAll="0">
      <items count="3">
        <item x="0"/>
        <item h="1"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2A1354-DBF2-4D72-90A6-26533116E9E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2:D37" firstHeaderRow="1" firstDataRow="2" firstDataCol="1"/>
  <pivotFields count="14">
    <pivotField showAll="0"/>
    <pivotField showAll="0">
      <items count="3">
        <item x="0"/>
        <item h="1"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h="1" m="1" x="5"/>
        <item x="2"/>
        <item h="1" m="1" x="3"/>
        <item x="0"/>
        <item h="1"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FDF3B-CC9C-4B2E-9A6F-88F36EB265CD}"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4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546A14-855B-4608-B25A-D6CB7E71F21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D24" firstHeaderRow="1" firstDataRow="2" firstDataCol="1"/>
  <pivotFields count="14">
    <pivotField showAll="0"/>
    <pivotField showAll="0">
      <items count="3">
        <item x="0"/>
        <item h="1"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C916E93-F567-433A-9920-DB2F206386EB}" sourceName="Marital Status">
  <pivotTables>
    <pivotTable tabId="5" name="PivotTable2"/>
    <pivotTable tabId="5" name="PivotTable1"/>
    <pivotTable tabId="5" name="PivotTable3"/>
    <pivotTable tabId="5" name="PivotTable4"/>
  </pivotTables>
  <data>
    <tabular pivotCacheId="134750955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FA4A71F-3912-4652-83B6-D453F84D15B5}" sourceName="Education">
  <pivotTables>
    <pivotTable tabId="5" name="PivotTable2"/>
    <pivotTable tabId="5" name="PivotTable1"/>
    <pivotTable tabId="5" name="PivotTable3"/>
    <pivotTable tabId="5" name="PivotTable4"/>
  </pivotTables>
  <data>
    <tabular pivotCacheId="13475095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83CCD5-9F34-4859-B2E8-BB23AA49D46E}" sourceName="Region">
  <pivotTables>
    <pivotTable tabId="5" name="PivotTable2"/>
    <pivotTable tabId="5" name="PivotTable1"/>
    <pivotTable tabId="5" name="PivotTable3"/>
    <pivotTable tabId="5" name="PivotTable4"/>
  </pivotTables>
  <data>
    <tabular pivotCacheId="13475095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8899BBF-BC4C-4710-91CD-95C309F0B50F}" cache="Slicer_Marital_Status" caption="Marital Status" rowHeight="234950"/>
  <slicer name="Education" xr10:uid="{AC66624D-5095-457C-B15B-42B0C48E2028}" cache="Slicer_Education" caption="Education" rowHeight="234950"/>
  <slicer name="Region" xr10:uid="{D063FE6B-8BA3-4174-BF2A-C0682DCE351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3" sqref="M1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B946-52BC-499A-A0B3-7EE6690AE5BE}">
  <dimension ref="A1:N1001"/>
  <sheetViews>
    <sheetView topLeftCell="K1" zoomScale="80" workbookViewId="0">
      <selection activeCell="M2" sqref="M2:M1001"/>
    </sheetView>
  </sheetViews>
  <sheetFormatPr defaultColWidth="17.21875" defaultRowHeight="14.4" x14ac:dyDescent="0.3"/>
  <cols>
    <col min="2" max="2" width="38.109375" customWidth="1"/>
    <col min="6" max="6" width="22.33203125" customWidth="1"/>
    <col min="7" max="7" width="27.77734375" customWidth="1"/>
    <col min="10" max="10" width="32.33203125" customWidth="1"/>
    <col min="14" max="14" width="28.77734375" customWidth="1"/>
  </cols>
  <sheetData>
    <row r="1" spans="1:14" x14ac:dyDescent="0.3">
      <c r="A1" t="s">
        <v>0</v>
      </c>
      <c r="B1" t="s">
        <v>1</v>
      </c>
      <c r="C1" t="s">
        <v>2</v>
      </c>
      <c r="D1" t="s">
        <v>3</v>
      </c>
      <c r="E1" t="s">
        <v>4</v>
      </c>
      <c r="F1" t="s">
        <v>5</v>
      </c>
      <c r="G1" t="s">
        <v>6</v>
      </c>
      <c r="H1" t="s">
        <v>7</v>
      </c>
      <c r="I1" t="s">
        <v>38</v>
      </c>
      <c r="J1" t="s">
        <v>9</v>
      </c>
      <c r="K1" t="s">
        <v>10</v>
      </c>
      <c r="L1" t="s">
        <v>11</v>
      </c>
      <c r="M1" t="s">
        <v>41</v>
      </c>
      <c r="N1" t="s">
        <v>12</v>
      </c>
    </row>
    <row r="2" spans="1:14" x14ac:dyDescent="0.3">
      <c r="A2">
        <v>12496</v>
      </c>
      <c r="B2" t="s">
        <v>36</v>
      </c>
      <c r="C2" t="s">
        <v>40</v>
      </c>
      <c r="D2">
        <v>40000</v>
      </c>
      <c r="E2">
        <v>1</v>
      </c>
      <c r="F2" t="s">
        <v>13</v>
      </c>
      <c r="G2" t="s">
        <v>14</v>
      </c>
      <c r="H2" t="s">
        <v>15</v>
      </c>
      <c r="I2">
        <v>0</v>
      </c>
      <c r="J2" t="s">
        <v>16</v>
      </c>
      <c r="K2" t="s">
        <v>17</v>
      </c>
      <c r="L2">
        <v>42</v>
      </c>
      <c r="M2" t="str">
        <f>IF(L2&gt;54,"Old 55+",IF(L2&gt;=31,"Middle Age 31-54",IF(L2&lt;31,"Adolescent 0-30", "Invalid")))</f>
        <v>Middle Age 31-54</v>
      </c>
      <c r="N2" t="s">
        <v>18</v>
      </c>
    </row>
    <row r="3" spans="1:14" x14ac:dyDescent="0.3">
      <c r="A3">
        <v>24107</v>
      </c>
      <c r="B3" t="s">
        <v>36</v>
      </c>
      <c r="C3" t="s">
        <v>39</v>
      </c>
      <c r="D3">
        <v>30000</v>
      </c>
      <c r="E3">
        <v>3</v>
      </c>
      <c r="F3" t="s">
        <v>19</v>
      </c>
      <c r="G3" t="s">
        <v>20</v>
      </c>
      <c r="H3" t="s">
        <v>15</v>
      </c>
      <c r="I3">
        <v>1</v>
      </c>
      <c r="J3" t="s">
        <v>16</v>
      </c>
      <c r="K3" t="s">
        <v>17</v>
      </c>
      <c r="L3">
        <v>43</v>
      </c>
      <c r="M3" t="str">
        <f t="shared" ref="M3:M66" si="0">IF(L3&gt;54,"Old 55+",IF(L3&gt;=31,"Middle Age 31-54",IF(L3&lt;31,"Adolescent 0-30", "Invalid")))</f>
        <v>Middle Age 31-54</v>
      </c>
      <c r="N3" t="s">
        <v>18</v>
      </c>
    </row>
    <row r="4" spans="1:14" x14ac:dyDescent="0.3">
      <c r="A4">
        <v>14177</v>
      </c>
      <c r="B4" t="s">
        <v>36</v>
      </c>
      <c r="C4" t="s">
        <v>39</v>
      </c>
      <c r="D4">
        <v>80000</v>
      </c>
      <c r="E4">
        <v>5</v>
      </c>
      <c r="F4" t="s">
        <v>19</v>
      </c>
      <c r="G4" t="s">
        <v>21</v>
      </c>
      <c r="H4" t="s">
        <v>18</v>
      </c>
      <c r="I4">
        <v>2</v>
      </c>
      <c r="J4" t="s">
        <v>22</v>
      </c>
      <c r="K4" t="s">
        <v>17</v>
      </c>
      <c r="L4">
        <v>60</v>
      </c>
      <c r="M4" t="str">
        <f t="shared" si="0"/>
        <v>Old 55+</v>
      </c>
      <c r="N4" t="s">
        <v>18</v>
      </c>
    </row>
    <row r="5" spans="1:14" x14ac:dyDescent="0.3">
      <c r="A5">
        <v>24381</v>
      </c>
      <c r="B5" t="s">
        <v>37</v>
      </c>
      <c r="C5" t="s">
        <v>39</v>
      </c>
      <c r="D5">
        <v>70000</v>
      </c>
      <c r="E5">
        <v>0</v>
      </c>
      <c r="F5" t="s">
        <v>13</v>
      </c>
      <c r="G5" t="s">
        <v>21</v>
      </c>
      <c r="H5" t="s">
        <v>15</v>
      </c>
      <c r="I5">
        <v>1</v>
      </c>
      <c r="J5" t="s">
        <v>23</v>
      </c>
      <c r="K5" t="s">
        <v>24</v>
      </c>
      <c r="L5">
        <v>41</v>
      </c>
      <c r="M5" t="str">
        <f t="shared" si="0"/>
        <v>Middle Age 31-54</v>
      </c>
      <c r="N5" t="s">
        <v>15</v>
      </c>
    </row>
    <row r="6" spans="1:14" x14ac:dyDescent="0.3">
      <c r="A6">
        <v>25597</v>
      </c>
      <c r="B6" t="s">
        <v>37</v>
      </c>
      <c r="C6" t="s">
        <v>39</v>
      </c>
      <c r="D6">
        <v>30000</v>
      </c>
      <c r="E6">
        <v>0</v>
      </c>
      <c r="F6" t="s">
        <v>13</v>
      </c>
      <c r="G6" t="s">
        <v>20</v>
      </c>
      <c r="H6" t="s">
        <v>18</v>
      </c>
      <c r="I6">
        <v>0</v>
      </c>
      <c r="J6" t="s">
        <v>16</v>
      </c>
      <c r="K6" t="s">
        <v>17</v>
      </c>
      <c r="L6">
        <v>36</v>
      </c>
      <c r="M6" t="str">
        <f t="shared" si="0"/>
        <v>Middle Age 31-54</v>
      </c>
      <c r="N6" t="s">
        <v>15</v>
      </c>
    </row>
    <row r="7" spans="1:14" x14ac:dyDescent="0.3">
      <c r="A7">
        <v>13507</v>
      </c>
      <c r="B7" t="s">
        <v>36</v>
      </c>
      <c r="C7" t="s">
        <v>40</v>
      </c>
      <c r="D7">
        <v>10000</v>
      </c>
      <c r="E7">
        <v>2</v>
      </c>
      <c r="F7" t="s">
        <v>19</v>
      </c>
      <c r="G7" t="s">
        <v>25</v>
      </c>
      <c r="H7" t="s">
        <v>15</v>
      </c>
      <c r="I7">
        <v>0</v>
      </c>
      <c r="J7" t="s">
        <v>26</v>
      </c>
      <c r="K7" t="s">
        <v>17</v>
      </c>
      <c r="L7">
        <v>50</v>
      </c>
      <c r="M7" t="str">
        <f t="shared" si="0"/>
        <v>Middle Age 31-54</v>
      </c>
      <c r="N7" t="s">
        <v>18</v>
      </c>
    </row>
    <row r="8" spans="1:14" x14ac:dyDescent="0.3">
      <c r="A8">
        <v>27974</v>
      </c>
      <c r="B8" t="s">
        <v>37</v>
      </c>
      <c r="C8" t="s">
        <v>39</v>
      </c>
      <c r="D8">
        <v>160000</v>
      </c>
      <c r="E8">
        <v>2</v>
      </c>
      <c r="F8" t="s">
        <v>27</v>
      </c>
      <c r="G8" t="s">
        <v>28</v>
      </c>
      <c r="H8" t="s">
        <v>15</v>
      </c>
      <c r="I8">
        <v>4</v>
      </c>
      <c r="J8" t="s">
        <v>16</v>
      </c>
      <c r="K8" t="s">
        <v>24</v>
      </c>
      <c r="L8">
        <v>33</v>
      </c>
      <c r="M8" t="str">
        <f t="shared" si="0"/>
        <v>Middle Age 31-54</v>
      </c>
      <c r="N8" t="s">
        <v>15</v>
      </c>
    </row>
    <row r="9" spans="1:14" x14ac:dyDescent="0.3">
      <c r="A9">
        <v>19364</v>
      </c>
      <c r="B9" t="s">
        <v>36</v>
      </c>
      <c r="C9" t="s">
        <v>39</v>
      </c>
      <c r="D9">
        <v>40000</v>
      </c>
      <c r="E9">
        <v>1</v>
      </c>
      <c r="F9" t="s">
        <v>13</v>
      </c>
      <c r="G9" t="s">
        <v>14</v>
      </c>
      <c r="H9" t="s">
        <v>15</v>
      </c>
      <c r="I9">
        <v>0</v>
      </c>
      <c r="J9" t="s">
        <v>16</v>
      </c>
      <c r="K9" t="s">
        <v>17</v>
      </c>
      <c r="L9">
        <v>43</v>
      </c>
      <c r="M9" t="str">
        <f t="shared" si="0"/>
        <v>Middle Age 31-54</v>
      </c>
      <c r="N9" t="s">
        <v>15</v>
      </c>
    </row>
    <row r="10" spans="1:14" x14ac:dyDescent="0.3">
      <c r="A10">
        <v>22155</v>
      </c>
      <c r="B10" t="s">
        <v>36</v>
      </c>
      <c r="C10" t="s">
        <v>39</v>
      </c>
      <c r="D10">
        <v>20000</v>
      </c>
      <c r="E10">
        <v>2</v>
      </c>
      <c r="F10" t="s">
        <v>29</v>
      </c>
      <c r="G10" t="s">
        <v>20</v>
      </c>
      <c r="H10" t="s">
        <v>15</v>
      </c>
      <c r="I10">
        <v>2</v>
      </c>
      <c r="J10" t="s">
        <v>23</v>
      </c>
      <c r="K10" t="s">
        <v>24</v>
      </c>
      <c r="L10">
        <v>58</v>
      </c>
      <c r="M10" t="str">
        <f t="shared" si="0"/>
        <v>Old 55+</v>
      </c>
      <c r="N10" t="s">
        <v>18</v>
      </c>
    </row>
    <row r="11" spans="1:14" x14ac:dyDescent="0.3">
      <c r="A11">
        <v>19280</v>
      </c>
      <c r="B11" t="s">
        <v>36</v>
      </c>
      <c r="C11" t="s">
        <v>39</v>
      </c>
      <c r="D11">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40</v>
      </c>
      <c r="D12">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40</v>
      </c>
      <c r="D13">
        <v>90000</v>
      </c>
      <c r="E13">
        <v>0</v>
      </c>
      <c r="F13" t="s">
        <v>13</v>
      </c>
      <c r="G13" t="s">
        <v>21</v>
      </c>
      <c r="H13" t="s">
        <v>18</v>
      </c>
      <c r="I13">
        <v>4</v>
      </c>
      <c r="J13" t="s">
        <v>47</v>
      </c>
      <c r="K13" t="s">
        <v>24</v>
      </c>
      <c r="L13">
        <v>36</v>
      </c>
      <c r="M13" t="str">
        <f t="shared" si="0"/>
        <v>Middle Age 31-54</v>
      </c>
      <c r="N13" t="s">
        <v>18</v>
      </c>
    </row>
    <row r="14" spans="1:14" x14ac:dyDescent="0.3">
      <c r="A14">
        <v>11434</v>
      </c>
      <c r="B14" t="s">
        <v>36</v>
      </c>
      <c r="C14" t="s">
        <v>39</v>
      </c>
      <c r="D14">
        <v>170000</v>
      </c>
      <c r="E14">
        <v>5</v>
      </c>
      <c r="F14" t="s">
        <v>19</v>
      </c>
      <c r="G14" t="s">
        <v>21</v>
      </c>
      <c r="H14" t="s">
        <v>15</v>
      </c>
      <c r="I14">
        <v>0</v>
      </c>
      <c r="J14" t="s">
        <v>16</v>
      </c>
      <c r="K14" t="s">
        <v>17</v>
      </c>
      <c r="L14">
        <v>55</v>
      </c>
      <c r="M14" t="str">
        <f t="shared" si="0"/>
        <v>Old 55+</v>
      </c>
      <c r="N14" t="s">
        <v>18</v>
      </c>
    </row>
    <row r="15" spans="1:14" x14ac:dyDescent="0.3">
      <c r="A15">
        <v>25323</v>
      </c>
      <c r="B15" t="s">
        <v>36</v>
      </c>
      <c r="C15" t="s">
        <v>39</v>
      </c>
      <c r="D15">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39</v>
      </c>
      <c r="D16">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40</v>
      </c>
      <c r="D17">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39</v>
      </c>
      <c r="D18">
        <v>30000</v>
      </c>
      <c r="E18">
        <v>3</v>
      </c>
      <c r="F18" t="s">
        <v>19</v>
      </c>
      <c r="G18" t="s">
        <v>20</v>
      </c>
      <c r="H18" t="s">
        <v>18</v>
      </c>
      <c r="I18">
        <v>2</v>
      </c>
      <c r="J18" t="s">
        <v>26</v>
      </c>
      <c r="K18" t="s">
        <v>24</v>
      </c>
      <c r="L18">
        <v>59</v>
      </c>
      <c r="M18" t="str">
        <f t="shared" si="0"/>
        <v>Old 55+</v>
      </c>
      <c r="N18" t="s">
        <v>15</v>
      </c>
    </row>
    <row r="19" spans="1:14" x14ac:dyDescent="0.3">
      <c r="A19">
        <v>12610</v>
      </c>
      <c r="B19" t="s">
        <v>36</v>
      </c>
      <c r="C19" t="s">
        <v>40</v>
      </c>
      <c r="D19">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39</v>
      </c>
      <c r="D20">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39</v>
      </c>
      <c r="D21">
        <v>20000</v>
      </c>
      <c r="E21">
        <v>2</v>
      </c>
      <c r="F21" t="s">
        <v>29</v>
      </c>
      <c r="G21" t="s">
        <v>20</v>
      </c>
      <c r="H21" t="s">
        <v>15</v>
      </c>
      <c r="I21">
        <v>2</v>
      </c>
      <c r="J21" t="s">
        <v>23</v>
      </c>
      <c r="K21" t="s">
        <v>24</v>
      </c>
      <c r="L21">
        <v>55</v>
      </c>
      <c r="M21" t="str">
        <f t="shared" si="0"/>
        <v>Old 55+</v>
      </c>
      <c r="N21" t="s">
        <v>15</v>
      </c>
    </row>
    <row r="22" spans="1:14" x14ac:dyDescent="0.3">
      <c r="A22">
        <v>25598</v>
      </c>
      <c r="B22" t="s">
        <v>36</v>
      </c>
      <c r="C22" t="s">
        <v>40</v>
      </c>
      <c r="D22">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40</v>
      </c>
      <c r="D23">
        <v>80000</v>
      </c>
      <c r="E23">
        <v>0</v>
      </c>
      <c r="F23" t="s">
        <v>13</v>
      </c>
      <c r="G23" t="s">
        <v>21</v>
      </c>
      <c r="H23" t="s">
        <v>15</v>
      </c>
      <c r="I23">
        <v>4</v>
      </c>
      <c r="J23" t="s">
        <v>47</v>
      </c>
      <c r="K23" t="s">
        <v>24</v>
      </c>
      <c r="L23">
        <v>35</v>
      </c>
      <c r="M23" t="str">
        <f t="shared" si="0"/>
        <v>Middle Age 31-54</v>
      </c>
      <c r="N23" t="s">
        <v>18</v>
      </c>
    </row>
    <row r="24" spans="1:14" x14ac:dyDescent="0.3">
      <c r="A24">
        <v>19193</v>
      </c>
      <c r="B24" t="s">
        <v>37</v>
      </c>
      <c r="C24" t="s">
        <v>39</v>
      </c>
      <c r="D24">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40</v>
      </c>
      <c r="D25">
        <v>80000</v>
      </c>
      <c r="E25">
        <v>5</v>
      </c>
      <c r="F25" t="s">
        <v>27</v>
      </c>
      <c r="G25" t="s">
        <v>28</v>
      </c>
      <c r="H25" t="s">
        <v>18</v>
      </c>
      <c r="I25">
        <v>3</v>
      </c>
      <c r="J25" t="s">
        <v>23</v>
      </c>
      <c r="K25" t="s">
        <v>17</v>
      </c>
      <c r="L25">
        <v>56</v>
      </c>
      <c r="M25" t="str">
        <f t="shared" si="0"/>
        <v>Old 55+</v>
      </c>
      <c r="N25" t="s">
        <v>18</v>
      </c>
    </row>
    <row r="26" spans="1:14" x14ac:dyDescent="0.3">
      <c r="A26">
        <v>27184</v>
      </c>
      <c r="B26" t="s">
        <v>37</v>
      </c>
      <c r="C26" t="s">
        <v>39</v>
      </c>
      <c r="D26">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39</v>
      </c>
      <c r="D27">
        <v>30000</v>
      </c>
      <c r="E27">
        <v>1</v>
      </c>
      <c r="F27" t="s">
        <v>13</v>
      </c>
      <c r="G27" t="s">
        <v>20</v>
      </c>
      <c r="H27" t="s">
        <v>15</v>
      </c>
      <c r="I27">
        <v>0</v>
      </c>
      <c r="J27" t="s">
        <v>16</v>
      </c>
      <c r="K27" t="s">
        <v>17</v>
      </c>
      <c r="L27">
        <v>63</v>
      </c>
      <c r="M27" t="str">
        <f t="shared" si="0"/>
        <v>Old 55+</v>
      </c>
      <c r="N27" t="s">
        <v>18</v>
      </c>
    </row>
    <row r="28" spans="1:14" x14ac:dyDescent="0.3">
      <c r="A28">
        <v>17841</v>
      </c>
      <c r="B28" t="s">
        <v>37</v>
      </c>
      <c r="C28" t="s">
        <v>39</v>
      </c>
      <c r="D28">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40</v>
      </c>
      <c r="D29">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39</v>
      </c>
      <c r="D30">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40</v>
      </c>
      <c r="D31">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40</v>
      </c>
      <c r="D32">
        <v>20000</v>
      </c>
      <c r="E32">
        <v>2</v>
      </c>
      <c r="F32" t="s">
        <v>19</v>
      </c>
      <c r="G32" t="s">
        <v>25</v>
      </c>
      <c r="H32" t="s">
        <v>15</v>
      </c>
      <c r="I32">
        <v>0</v>
      </c>
      <c r="J32" t="s">
        <v>16</v>
      </c>
      <c r="K32" t="s">
        <v>17</v>
      </c>
      <c r="L32">
        <v>63</v>
      </c>
      <c r="M32" t="str">
        <f t="shared" si="0"/>
        <v>Old 55+</v>
      </c>
      <c r="N32" t="s">
        <v>18</v>
      </c>
    </row>
    <row r="33" spans="1:14" x14ac:dyDescent="0.3">
      <c r="A33">
        <v>22400</v>
      </c>
      <c r="B33" t="s">
        <v>36</v>
      </c>
      <c r="C33" t="s">
        <v>39</v>
      </c>
      <c r="D3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40</v>
      </c>
      <c r="D34">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39</v>
      </c>
      <c r="D35">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39</v>
      </c>
      <c r="D36">
        <v>90000</v>
      </c>
      <c r="E36">
        <v>5</v>
      </c>
      <c r="F36" t="s">
        <v>19</v>
      </c>
      <c r="G36" t="s">
        <v>21</v>
      </c>
      <c r="H36" t="s">
        <v>18</v>
      </c>
      <c r="I36">
        <v>2</v>
      </c>
      <c r="J36" t="s">
        <v>22</v>
      </c>
      <c r="K36" t="s">
        <v>17</v>
      </c>
      <c r="L36">
        <v>62</v>
      </c>
      <c r="M36" t="str">
        <f t="shared" si="0"/>
        <v>Old 55+</v>
      </c>
      <c r="N36" t="s">
        <v>15</v>
      </c>
    </row>
    <row r="37" spans="1:14" x14ac:dyDescent="0.3">
      <c r="A37">
        <v>28380</v>
      </c>
      <c r="B37" t="s">
        <v>37</v>
      </c>
      <c r="C37" t="s">
        <v>40</v>
      </c>
      <c r="D37">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40</v>
      </c>
      <c r="D38">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40</v>
      </c>
      <c r="D39">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40</v>
      </c>
      <c r="D41">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40</v>
      </c>
      <c r="D42">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40</v>
      </c>
      <c r="D43">
        <v>40000</v>
      </c>
      <c r="E43">
        <v>2</v>
      </c>
      <c r="F43" t="s">
        <v>13</v>
      </c>
      <c r="G43" t="s">
        <v>28</v>
      </c>
      <c r="H43" t="s">
        <v>15</v>
      </c>
      <c r="I43">
        <v>2</v>
      </c>
      <c r="J43" t="s">
        <v>23</v>
      </c>
      <c r="K43" t="s">
        <v>24</v>
      </c>
      <c r="L43">
        <v>65</v>
      </c>
      <c r="M43" t="str">
        <f t="shared" si="0"/>
        <v>Old 55+</v>
      </c>
      <c r="N43" t="s">
        <v>15</v>
      </c>
    </row>
    <row r="44" spans="1:14" x14ac:dyDescent="0.3">
      <c r="A44">
        <v>17703</v>
      </c>
      <c r="B44" t="s">
        <v>36</v>
      </c>
      <c r="C44" t="s">
        <v>40</v>
      </c>
      <c r="D44">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40</v>
      </c>
      <c r="D45">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40</v>
      </c>
      <c r="D46">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40</v>
      </c>
      <c r="D47">
        <v>20000</v>
      </c>
      <c r="E47">
        <v>1</v>
      </c>
      <c r="F47" t="s">
        <v>13</v>
      </c>
      <c r="G47" t="s">
        <v>20</v>
      </c>
      <c r="H47" t="s">
        <v>15</v>
      </c>
      <c r="I47">
        <v>0</v>
      </c>
      <c r="J47" t="s">
        <v>16</v>
      </c>
      <c r="K47" t="s">
        <v>17</v>
      </c>
      <c r="L47">
        <v>66</v>
      </c>
      <c r="M47" t="str">
        <f t="shared" si="0"/>
        <v>Old 55+</v>
      </c>
      <c r="N47" t="s">
        <v>15</v>
      </c>
    </row>
    <row r="48" spans="1:14" x14ac:dyDescent="0.3">
      <c r="A48">
        <v>24466</v>
      </c>
      <c r="B48" t="s">
        <v>36</v>
      </c>
      <c r="C48" t="s">
        <v>40</v>
      </c>
      <c r="D48">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40</v>
      </c>
      <c r="D49">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39</v>
      </c>
      <c r="D50">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39</v>
      </c>
      <c r="D51">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40</v>
      </c>
      <c r="D52">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v>80000</v>
      </c>
      <c r="E53">
        <v>0</v>
      </c>
      <c r="F53" t="s">
        <v>13</v>
      </c>
      <c r="G53" t="s">
        <v>21</v>
      </c>
      <c r="H53" t="s">
        <v>18</v>
      </c>
      <c r="I53">
        <v>4</v>
      </c>
      <c r="J53" t="s">
        <v>47</v>
      </c>
      <c r="K53" t="s">
        <v>24</v>
      </c>
      <c r="L53">
        <v>35</v>
      </c>
      <c r="M53" t="str">
        <f t="shared" si="0"/>
        <v>Middle Age 31-54</v>
      </c>
      <c r="N53" t="s">
        <v>18</v>
      </c>
    </row>
    <row r="54" spans="1:14" x14ac:dyDescent="0.3">
      <c r="A54">
        <v>12558</v>
      </c>
      <c r="B54" t="s">
        <v>36</v>
      </c>
      <c r="C54" t="s">
        <v>40</v>
      </c>
      <c r="D54">
        <v>20000</v>
      </c>
      <c r="E54">
        <v>1</v>
      </c>
      <c r="F54" t="s">
        <v>13</v>
      </c>
      <c r="G54" t="s">
        <v>20</v>
      </c>
      <c r="H54" t="s">
        <v>15</v>
      </c>
      <c r="I54">
        <v>0</v>
      </c>
      <c r="J54" t="s">
        <v>16</v>
      </c>
      <c r="K54" t="s">
        <v>17</v>
      </c>
      <c r="L54">
        <v>65</v>
      </c>
      <c r="M54" t="str">
        <f t="shared" si="0"/>
        <v>Old 55+</v>
      </c>
      <c r="N54" t="s">
        <v>18</v>
      </c>
    </row>
    <row r="55" spans="1:14" x14ac:dyDescent="0.3">
      <c r="A55">
        <v>24871</v>
      </c>
      <c r="B55" t="s">
        <v>37</v>
      </c>
      <c r="C55" t="s">
        <v>40</v>
      </c>
      <c r="D55">
        <v>90000</v>
      </c>
      <c r="E55">
        <v>4</v>
      </c>
      <c r="F55" t="s">
        <v>27</v>
      </c>
      <c r="G55" t="s">
        <v>28</v>
      </c>
      <c r="H55" t="s">
        <v>18</v>
      </c>
      <c r="I55">
        <v>3</v>
      </c>
      <c r="J55" t="s">
        <v>23</v>
      </c>
      <c r="K55" t="s">
        <v>17</v>
      </c>
      <c r="L55">
        <v>56</v>
      </c>
      <c r="M55" t="str">
        <f t="shared" si="0"/>
        <v>Old 55+</v>
      </c>
      <c r="N55" t="s">
        <v>18</v>
      </c>
    </row>
    <row r="56" spans="1:14" x14ac:dyDescent="0.3">
      <c r="A56">
        <v>17319</v>
      </c>
      <c r="B56" t="s">
        <v>37</v>
      </c>
      <c r="C56" t="s">
        <v>40</v>
      </c>
      <c r="D56">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39</v>
      </c>
      <c r="D57">
        <v>80000</v>
      </c>
      <c r="E57">
        <v>4</v>
      </c>
      <c r="F57" t="s">
        <v>27</v>
      </c>
      <c r="G57" t="s">
        <v>21</v>
      </c>
      <c r="H57" t="s">
        <v>15</v>
      </c>
      <c r="I57">
        <v>2</v>
      </c>
      <c r="J57" t="s">
        <v>47</v>
      </c>
      <c r="K57" t="s">
        <v>17</v>
      </c>
      <c r="L57">
        <v>54</v>
      </c>
      <c r="M57" t="str">
        <f t="shared" si="0"/>
        <v>Middle Age 31-54</v>
      </c>
      <c r="N57" t="s">
        <v>18</v>
      </c>
    </row>
    <row r="58" spans="1:14" x14ac:dyDescent="0.3">
      <c r="A58">
        <v>12808</v>
      </c>
      <c r="B58" t="s">
        <v>36</v>
      </c>
      <c r="C58" t="s">
        <v>39</v>
      </c>
      <c r="D58">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39</v>
      </c>
      <c r="D59">
        <v>130000</v>
      </c>
      <c r="E59">
        <v>4</v>
      </c>
      <c r="F59" t="s">
        <v>19</v>
      </c>
      <c r="G59" t="s">
        <v>21</v>
      </c>
      <c r="H59" t="s">
        <v>18</v>
      </c>
      <c r="I59">
        <v>4</v>
      </c>
      <c r="J59" t="s">
        <v>23</v>
      </c>
      <c r="K59" t="s">
        <v>17</v>
      </c>
      <c r="L59">
        <v>61</v>
      </c>
      <c r="M59" t="str">
        <f t="shared" si="0"/>
        <v>Old 55+</v>
      </c>
      <c r="N59" t="s">
        <v>15</v>
      </c>
    </row>
    <row r="60" spans="1:14" x14ac:dyDescent="0.3">
      <c r="A60">
        <v>25502</v>
      </c>
      <c r="B60" t="s">
        <v>36</v>
      </c>
      <c r="C60" t="s">
        <v>40</v>
      </c>
      <c r="D60">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39</v>
      </c>
      <c r="D61">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40</v>
      </c>
      <c r="D62">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40</v>
      </c>
      <c r="D6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39</v>
      </c>
      <c r="D64">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39</v>
      </c>
      <c r="D65">
        <v>60000</v>
      </c>
      <c r="E65">
        <v>4</v>
      </c>
      <c r="F65" t="s">
        <v>13</v>
      </c>
      <c r="G65" t="s">
        <v>21</v>
      </c>
      <c r="H65" t="s">
        <v>15</v>
      </c>
      <c r="I65">
        <v>3</v>
      </c>
      <c r="J65" t="s">
        <v>47</v>
      </c>
      <c r="K65" t="s">
        <v>24</v>
      </c>
      <c r="L65">
        <v>41</v>
      </c>
      <c r="M65" t="str">
        <f t="shared" si="0"/>
        <v>Middle Age 31-54</v>
      </c>
      <c r="N65" t="s">
        <v>18</v>
      </c>
    </row>
    <row r="66" spans="1:14" x14ac:dyDescent="0.3">
      <c r="A66">
        <v>14927</v>
      </c>
      <c r="B66" t="s">
        <v>36</v>
      </c>
      <c r="C66" t="s">
        <v>40</v>
      </c>
      <c r="D66">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39</v>
      </c>
      <c r="D67">
        <v>30000</v>
      </c>
      <c r="E67">
        <v>2</v>
      </c>
      <c r="F67" t="s">
        <v>19</v>
      </c>
      <c r="G67" t="s">
        <v>20</v>
      </c>
      <c r="H67" t="s">
        <v>15</v>
      </c>
      <c r="I67">
        <v>2</v>
      </c>
      <c r="J67" t="s">
        <v>23</v>
      </c>
      <c r="K67" t="s">
        <v>24</v>
      </c>
      <c r="L67">
        <v>68</v>
      </c>
      <c r="M67" t="str">
        <f t="shared" ref="M67:M130" si="1">IF(L67&gt;54,"Old 55+",IF(L67&gt;=31,"Middle Age 31-54",IF(L67&lt;31,"Adolescent 0-30", "Invalid")))</f>
        <v>Old 55+</v>
      </c>
      <c r="N67" t="s">
        <v>18</v>
      </c>
    </row>
    <row r="68" spans="1:14" x14ac:dyDescent="0.3">
      <c r="A68">
        <v>29355</v>
      </c>
      <c r="B68" t="s">
        <v>36</v>
      </c>
      <c r="C68" t="s">
        <v>40</v>
      </c>
      <c r="D68">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39</v>
      </c>
      <c r="D69">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40</v>
      </c>
      <c r="D70">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40</v>
      </c>
      <c r="D71">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v>120000</v>
      </c>
      <c r="E72">
        <v>0</v>
      </c>
      <c r="F72" t="s">
        <v>29</v>
      </c>
      <c r="G72" t="s">
        <v>21</v>
      </c>
      <c r="H72" t="s">
        <v>15</v>
      </c>
      <c r="I72">
        <v>4</v>
      </c>
      <c r="J72" t="s">
        <v>47</v>
      </c>
      <c r="K72" t="s">
        <v>24</v>
      </c>
      <c r="L72">
        <v>36</v>
      </c>
      <c r="M72" t="str">
        <f t="shared" si="1"/>
        <v>Middle Age 31-54</v>
      </c>
      <c r="N72" t="s">
        <v>15</v>
      </c>
    </row>
    <row r="73" spans="1:14" x14ac:dyDescent="0.3">
      <c r="A73">
        <v>16200</v>
      </c>
      <c r="B73" t="s">
        <v>37</v>
      </c>
      <c r="C73" t="s">
        <v>40</v>
      </c>
      <c r="D7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40</v>
      </c>
      <c r="D74">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40</v>
      </c>
      <c r="D75">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40</v>
      </c>
      <c r="D76">
        <v>20000</v>
      </c>
      <c r="E76">
        <v>3</v>
      </c>
      <c r="F76" t="s">
        <v>27</v>
      </c>
      <c r="G76" t="s">
        <v>14</v>
      </c>
      <c r="H76" t="s">
        <v>18</v>
      </c>
      <c r="I76">
        <v>2</v>
      </c>
      <c r="J76" t="s">
        <v>26</v>
      </c>
      <c r="K76" t="s">
        <v>24</v>
      </c>
      <c r="L76">
        <v>62</v>
      </c>
      <c r="M76" t="str">
        <f t="shared" si="1"/>
        <v>Old 55+</v>
      </c>
      <c r="N76" t="s">
        <v>18</v>
      </c>
    </row>
    <row r="77" spans="1:14" x14ac:dyDescent="0.3">
      <c r="A77">
        <v>12678</v>
      </c>
      <c r="B77" t="s">
        <v>37</v>
      </c>
      <c r="C77" t="s">
        <v>40</v>
      </c>
      <c r="D77">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40</v>
      </c>
      <c r="D78">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v>80000</v>
      </c>
      <c r="E79">
        <v>0</v>
      </c>
      <c r="F79" t="s">
        <v>13</v>
      </c>
      <c r="G79" t="s">
        <v>21</v>
      </c>
      <c r="H79" t="s">
        <v>15</v>
      </c>
      <c r="I79">
        <v>2</v>
      </c>
      <c r="J79" t="s">
        <v>47</v>
      </c>
      <c r="K79" t="s">
        <v>24</v>
      </c>
      <c r="L79">
        <v>29</v>
      </c>
      <c r="M79" t="str">
        <f t="shared" si="1"/>
        <v>Adolescent 0-30</v>
      </c>
      <c r="N79" t="s">
        <v>15</v>
      </c>
    </row>
    <row r="80" spans="1:14" x14ac:dyDescent="0.3">
      <c r="A80">
        <v>15752</v>
      </c>
      <c r="B80" t="s">
        <v>36</v>
      </c>
      <c r="C80" t="s">
        <v>39</v>
      </c>
      <c r="D80">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39</v>
      </c>
      <c r="D81">
        <v>40000</v>
      </c>
      <c r="E81">
        <v>2</v>
      </c>
      <c r="F81" t="s">
        <v>13</v>
      </c>
      <c r="G81" t="s">
        <v>28</v>
      </c>
      <c r="H81" t="s">
        <v>15</v>
      </c>
      <c r="I81">
        <v>2</v>
      </c>
      <c r="J81" t="s">
        <v>23</v>
      </c>
      <c r="K81" t="s">
        <v>24</v>
      </c>
      <c r="L81">
        <v>63</v>
      </c>
      <c r="M81" t="str">
        <f t="shared" si="1"/>
        <v>Old 55+</v>
      </c>
      <c r="N81" t="s">
        <v>15</v>
      </c>
    </row>
    <row r="82" spans="1:14" x14ac:dyDescent="0.3">
      <c r="A82">
        <v>20828</v>
      </c>
      <c r="B82" t="s">
        <v>36</v>
      </c>
      <c r="C82" t="s">
        <v>40</v>
      </c>
      <c r="D82">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40</v>
      </c>
      <c r="D8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39</v>
      </c>
      <c r="D84">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39</v>
      </c>
      <c r="D85">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39</v>
      </c>
      <c r="D87">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39</v>
      </c>
      <c r="D89">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39</v>
      </c>
      <c r="D90">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40</v>
      </c>
      <c r="D92">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40</v>
      </c>
      <c r="D94">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40</v>
      </c>
      <c r="D95">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40</v>
      </c>
      <c r="D96">
        <v>30000</v>
      </c>
      <c r="E96">
        <v>3</v>
      </c>
      <c r="F96" t="s">
        <v>27</v>
      </c>
      <c r="G96" t="s">
        <v>14</v>
      </c>
      <c r="H96" t="s">
        <v>15</v>
      </c>
      <c r="I96">
        <v>2</v>
      </c>
      <c r="J96" t="s">
        <v>23</v>
      </c>
      <c r="K96" t="s">
        <v>24</v>
      </c>
      <c r="L96">
        <v>55</v>
      </c>
      <c r="M96" t="str">
        <f t="shared" si="1"/>
        <v>Old 55+</v>
      </c>
      <c r="N96" t="s">
        <v>18</v>
      </c>
    </row>
    <row r="97" spans="1:14" x14ac:dyDescent="0.3">
      <c r="A97">
        <v>17197</v>
      </c>
      <c r="B97" t="s">
        <v>37</v>
      </c>
      <c r="C97" t="s">
        <v>40</v>
      </c>
      <c r="D97">
        <v>90000</v>
      </c>
      <c r="E97">
        <v>5</v>
      </c>
      <c r="F97" t="s">
        <v>19</v>
      </c>
      <c r="G97" t="s">
        <v>21</v>
      </c>
      <c r="H97" t="s">
        <v>15</v>
      </c>
      <c r="I97">
        <v>2</v>
      </c>
      <c r="J97" t="s">
        <v>47</v>
      </c>
      <c r="K97" t="s">
        <v>17</v>
      </c>
      <c r="L97">
        <v>62</v>
      </c>
      <c r="M97" t="str">
        <f t="shared" si="1"/>
        <v>Old 55+</v>
      </c>
      <c r="N97" t="s">
        <v>18</v>
      </c>
    </row>
    <row r="98" spans="1:14" x14ac:dyDescent="0.3">
      <c r="A98">
        <v>12507</v>
      </c>
      <c r="B98" t="s">
        <v>36</v>
      </c>
      <c r="C98" t="s">
        <v>39</v>
      </c>
      <c r="D98">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39</v>
      </c>
      <c r="D99">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39</v>
      </c>
      <c r="D100">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40</v>
      </c>
      <c r="D101">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39</v>
      </c>
      <c r="D102">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39</v>
      </c>
      <c r="D10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39</v>
      </c>
      <c r="D104">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39</v>
      </c>
      <c r="D105">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40</v>
      </c>
      <c r="D106">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40</v>
      </c>
      <c r="D107">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40</v>
      </c>
      <c r="D109">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40</v>
      </c>
      <c r="D110">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39</v>
      </c>
      <c r="D111">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40</v>
      </c>
      <c r="D112">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40</v>
      </c>
      <c r="D11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40</v>
      </c>
      <c r="D114">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40</v>
      </c>
      <c r="D115">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39</v>
      </c>
      <c r="D116">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40</v>
      </c>
      <c r="D118">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40</v>
      </c>
      <c r="D119">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39</v>
      </c>
      <c r="D120">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40</v>
      </c>
      <c r="D121">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40</v>
      </c>
      <c r="D122">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39</v>
      </c>
      <c r="D12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40</v>
      </c>
      <c r="D124">
        <v>80000</v>
      </c>
      <c r="E124">
        <v>0</v>
      </c>
      <c r="F124" t="s">
        <v>13</v>
      </c>
      <c r="G124" t="s">
        <v>21</v>
      </c>
      <c r="H124" t="s">
        <v>18</v>
      </c>
      <c r="I124">
        <v>3</v>
      </c>
      <c r="J124" t="s">
        <v>47</v>
      </c>
      <c r="K124" t="s">
        <v>24</v>
      </c>
      <c r="L124">
        <v>31</v>
      </c>
      <c r="M124" t="str">
        <f t="shared" si="1"/>
        <v>Middle Age 31-54</v>
      </c>
      <c r="N124" t="s">
        <v>18</v>
      </c>
    </row>
    <row r="125" spans="1:14" x14ac:dyDescent="0.3">
      <c r="A125">
        <v>23627</v>
      </c>
      <c r="B125" t="s">
        <v>37</v>
      </c>
      <c r="C125" t="s">
        <v>40</v>
      </c>
      <c r="D125">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40</v>
      </c>
      <c r="D126">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39</v>
      </c>
      <c r="D127">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39</v>
      </c>
      <c r="D128">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39</v>
      </c>
      <c r="D129">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39</v>
      </c>
      <c r="D130">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39</v>
      </c>
      <c r="D131">
        <v>10000</v>
      </c>
      <c r="E131">
        <v>3</v>
      </c>
      <c r="F131" t="s">
        <v>27</v>
      </c>
      <c r="G131" t="s">
        <v>25</v>
      </c>
      <c r="H131" t="s">
        <v>15</v>
      </c>
      <c r="I131">
        <v>1</v>
      </c>
      <c r="J131" t="s">
        <v>16</v>
      </c>
      <c r="K131" t="s">
        <v>17</v>
      </c>
      <c r="L131">
        <v>39</v>
      </c>
      <c r="M131" t="str">
        <f t="shared" ref="M131:M194" si="2">IF(L131&gt;54,"Old 55+",IF(L131&gt;=31,"Middle Age 31-54",IF(L131&lt;31,"Adolescent 0-30", "Invalid")))</f>
        <v>Middle Age 31-54</v>
      </c>
      <c r="N131" t="s">
        <v>15</v>
      </c>
    </row>
    <row r="132" spans="1:14" x14ac:dyDescent="0.3">
      <c r="A132">
        <v>12993</v>
      </c>
      <c r="B132" t="s">
        <v>36</v>
      </c>
      <c r="C132" t="s">
        <v>39</v>
      </c>
      <c r="D132">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39</v>
      </c>
      <c r="D13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39</v>
      </c>
      <c r="D134">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39</v>
      </c>
      <c r="D135">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40</v>
      </c>
      <c r="D136">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39</v>
      </c>
      <c r="D137">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40</v>
      </c>
      <c r="D138">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39</v>
      </c>
      <c r="D139">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40</v>
      </c>
      <c r="D140">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40</v>
      </c>
      <c r="D141">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39</v>
      </c>
      <c r="D142">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40</v>
      </c>
      <c r="D14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40</v>
      </c>
      <c r="D145">
        <v>80000</v>
      </c>
      <c r="E145">
        <v>0</v>
      </c>
      <c r="F145" t="s">
        <v>13</v>
      </c>
      <c r="G145" t="s">
        <v>21</v>
      </c>
      <c r="H145" t="s">
        <v>15</v>
      </c>
      <c r="I145">
        <v>3</v>
      </c>
      <c r="J145" t="s">
        <v>47</v>
      </c>
      <c r="K145" t="s">
        <v>24</v>
      </c>
      <c r="L145">
        <v>32</v>
      </c>
      <c r="M145" t="str">
        <f t="shared" si="2"/>
        <v>Middle Age 31-54</v>
      </c>
      <c r="N145" t="s">
        <v>18</v>
      </c>
    </row>
    <row r="146" spans="1:14" x14ac:dyDescent="0.3">
      <c r="A146">
        <v>20877</v>
      </c>
      <c r="B146" t="s">
        <v>37</v>
      </c>
      <c r="C146" t="s">
        <v>39</v>
      </c>
      <c r="D146">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40</v>
      </c>
      <c r="D147">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39</v>
      </c>
      <c r="D148">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40</v>
      </c>
      <c r="D149">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39</v>
      </c>
      <c r="D150">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39</v>
      </c>
      <c r="D151">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39</v>
      </c>
      <c r="D15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40</v>
      </c>
      <c r="D154">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39</v>
      </c>
      <c r="D155">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39</v>
      </c>
      <c r="D156">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40</v>
      </c>
      <c r="D157">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40</v>
      </c>
      <c r="D158">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39</v>
      </c>
      <c r="D159">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40</v>
      </c>
      <c r="D160">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40</v>
      </c>
      <c r="D161">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40</v>
      </c>
      <c r="D162">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40</v>
      </c>
      <c r="D16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40</v>
      </c>
      <c r="D164">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39</v>
      </c>
      <c r="D165">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39</v>
      </c>
      <c r="D166">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40</v>
      </c>
      <c r="D167">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39</v>
      </c>
      <c r="D169">
        <v>100000</v>
      </c>
      <c r="E169">
        <v>0</v>
      </c>
      <c r="F169" t="s">
        <v>27</v>
      </c>
      <c r="G169" t="s">
        <v>28</v>
      </c>
      <c r="H169" t="s">
        <v>15</v>
      </c>
      <c r="I169">
        <v>3</v>
      </c>
      <c r="J169" t="s">
        <v>47</v>
      </c>
      <c r="K169" t="s">
        <v>24</v>
      </c>
      <c r="L169">
        <v>35</v>
      </c>
      <c r="M169" t="str">
        <f t="shared" si="2"/>
        <v>Middle Age 31-54</v>
      </c>
      <c r="N169" t="s">
        <v>18</v>
      </c>
    </row>
    <row r="170" spans="1:14" x14ac:dyDescent="0.3">
      <c r="A170">
        <v>14058</v>
      </c>
      <c r="B170" t="s">
        <v>37</v>
      </c>
      <c r="C170" t="s">
        <v>39</v>
      </c>
      <c r="D170">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39</v>
      </c>
      <c r="D171">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40</v>
      </c>
      <c r="D172">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40</v>
      </c>
      <c r="D17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39</v>
      </c>
      <c r="D174">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40</v>
      </c>
      <c r="D175">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40</v>
      </c>
      <c r="D177">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40</v>
      </c>
      <c r="D178">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40</v>
      </c>
      <c r="D179">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39</v>
      </c>
      <c r="D180">
        <v>160000</v>
      </c>
      <c r="E180">
        <v>4</v>
      </c>
      <c r="F180" t="s">
        <v>19</v>
      </c>
      <c r="G180" t="s">
        <v>21</v>
      </c>
      <c r="H180" t="s">
        <v>18</v>
      </c>
      <c r="I180">
        <v>2</v>
      </c>
      <c r="J180" t="s">
        <v>47</v>
      </c>
      <c r="K180" t="s">
        <v>17</v>
      </c>
      <c r="L180">
        <v>55</v>
      </c>
      <c r="M180" t="str">
        <f t="shared" si="2"/>
        <v>Old 55+</v>
      </c>
      <c r="N180" t="s">
        <v>15</v>
      </c>
    </row>
    <row r="181" spans="1:14" x14ac:dyDescent="0.3">
      <c r="A181">
        <v>12212</v>
      </c>
      <c r="B181" t="s">
        <v>36</v>
      </c>
      <c r="C181" t="s">
        <v>40</v>
      </c>
      <c r="D181">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39</v>
      </c>
      <c r="D182">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40</v>
      </c>
      <c r="D18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40</v>
      </c>
      <c r="D184">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39</v>
      </c>
      <c r="D185">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40</v>
      </c>
      <c r="D186">
        <v>130000</v>
      </c>
      <c r="E186">
        <v>4</v>
      </c>
      <c r="F186" t="s">
        <v>27</v>
      </c>
      <c r="G186" t="s">
        <v>28</v>
      </c>
      <c r="H186" t="s">
        <v>18</v>
      </c>
      <c r="I186">
        <v>4</v>
      </c>
      <c r="J186" t="s">
        <v>47</v>
      </c>
      <c r="K186" t="s">
        <v>17</v>
      </c>
      <c r="L186">
        <v>58</v>
      </c>
      <c r="M186" t="str">
        <f t="shared" si="2"/>
        <v>Old 55+</v>
      </c>
      <c r="N186" t="s">
        <v>18</v>
      </c>
    </row>
    <row r="187" spans="1:14" x14ac:dyDescent="0.3">
      <c r="A187">
        <v>15799</v>
      </c>
      <c r="B187" t="s">
        <v>36</v>
      </c>
      <c r="C187" t="s">
        <v>40</v>
      </c>
      <c r="D187">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40</v>
      </c>
      <c r="D188">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39</v>
      </c>
      <c r="D189">
        <v>80000</v>
      </c>
      <c r="E189">
        <v>5</v>
      </c>
      <c r="F189" t="s">
        <v>19</v>
      </c>
      <c r="G189" t="s">
        <v>21</v>
      </c>
      <c r="H189" t="s">
        <v>18</v>
      </c>
      <c r="I189">
        <v>2</v>
      </c>
      <c r="J189" t="s">
        <v>47</v>
      </c>
      <c r="K189" t="s">
        <v>17</v>
      </c>
      <c r="L189">
        <v>59</v>
      </c>
      <c r="M189" t="str">
        <f t="shared" si="2"/>
        <v>Old 55+</v>
      </c>
      <c r="N189" t="s">
        <v>18</v>
      </c>
    </row>
    <row r="190" spans="1:14" x14ac:dyDescent="0.3">
      <c r="A190">
        <v>20606</v>
      </c>
      <c r="B190" t="s">
        <v>36</v>
      </c>
      <c r="C190" t="s">
        <v>40</v>
      </c>
      <c r="D190">
        <v>70000</v>
      </c>
      <c r="E190">
        <v>0</v>
      </c>
      <c r="F190" t="s">
        <v>13</v>
      </c>
      <c r="G190" t="s">
        <v>21</v>
      </c>
      <c r="H190" t="s">
        <v>15</v>
      </c>
      <c r="I190">
        <v>4</v>
      </c>
      <c r="J190" t="s">
        <v>47</v>
      </c>
      <c r="K190" t="s">
        <v>24</v>
      </c>
      <c r="L190">
        <v>32</v>
      </c>
      <c r="M190" t="str">
        <f t="shared" si="2"/>
        <v>Middle Age 31-54</v>
      </c>
      <c r="N190" t="s">
        <v>15</v>
      </c>
    </row>
    <row r="191" spans="1:14" x14ac:dyDescent="0.3">
      <c r="A191">
        <v>19482</v>
      </c>
      <c r="B191" t="s">
        <v>36</v>
      </c>
      <c r="C191" t="s">
        <v>39</v>
      </c>
      <c r="D191">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39</v>
      </c>
      <c r="D192">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39</v>
      </c>
      <c r="D19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40</v>
      </c>
      <c r="D194">
        <v>80000</v>
      </c>
      <c r="E194">
        <v>5</v>
      </c>
      <c r="F194" t="s">
        <v>13</v>
      </c>
      <c r="G194" t="s">
        <v>28</v>
      </c>
      <c r="H194" t="s">
        <v>15</v>
      </c>
      <c r="I194">
        <v>2</v>
      </c>
      <c r="J194" t="s">
        <v>47</v>
      </c>
      <c r="K194" t="s">
        <v>17</v>
      </c>
      <c r="L194">
        <v>62</v>
      </c>
      <c r="M194" t="str">
        <f t="shared" si="2"/>
        <v>Old 55+</v>
      </c>
      <c r="N194" t="s">
        <v>18</v>
      </c>
    </row>
    <row r="195" spans="1:14" x14ac:dyDescent="0.3">
      <c r="A195">
        <v>26032</v>
      </c>
      <c r="B195" t="s">
        <v>36</v>
      </c>
      <c r="C195" t="s">
        <v>40</v>
      </c>
      <c r="D195">
        <v>70000</v>
      </c>
      <c r="E195">
        <v>5</v>
      </c>
      <c r="F195" t="s">
        <v>13</v>
      </c>
      <c r="G195" t="s">
        <v>21</v>
      </c>
      <c r="H195" t="s">
        <v>15</v>
      </c>
      <c r="I195">
        <v>4</v>
      </c>
      <c r="J195" t="s">
        <v>47</v>
      </c>
      <c r="K195" t="s">
        <v>24</v>
      </c>
      <c r="L195">
        <v>41</v>
      </c>
      <c r="M195" t="str">
        <f t="shared" ref="M195:M258" si="3">IF(L195&gt;54,"Old 55+",IF(L195&gt;=31,"Middle Age 31-54",IF(L195&lt;31,"Adolescent 0-30", "Invalid")))</f>
        <v>Middle Age 31-54</v>
      </c>
      <c r="N195" t="s">
        <v>18</v>
      </c>
    </row>
    <row r="196" spans="1:14" x14ac:dyDescent="0.3">
      <c r="A196">
        <v>17843</v>
      </c>
      <c r="B196" t="s">
        <v>37</v>
      </c>
      <c r="C196" t="s">
        <v>40</v>
      </c>
      <c r="D196">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39</v>
      </c>
      <c r="D197">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40</v>
      </c>
      <c r="D198">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39</v>
      </c>
      <c r="D199">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40</v>
      </c>
      <c r="D200">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39</v>
      </c>
      <c r="D201">
        <v>80000</v>
      </c>
      <c r="E201">
        <v>0</v>
      </c>
      <c r="F201" t="s">
        <v>13</v>
      </c>
      <c r="G201" t="s">
        <v>21</v>
      </c>
      <c r="H201" t="s">
        <v>18</v>
      </c>
      <c r="I201">
        <v>3</v>
      </c>
      <c r="J201" t="s">
        <v>47</v>
      </c>
      <c r="K201" t="s">
        <v>24</v>
      </c>
      <c r="L201">
        <v>33</v>
      </c>
      <c r="M201" t="str">
        <f t="shared" si="3"/>
        <v>Middle Age 31-54</v>
      </c>
      <c r="N201" t="s">
        <v>15</v>
      </c>
    </row>
    <row r="202" spans="1:14" x14ac:dyDescent="0.3">
      <c r="A202">
        <v>24584</v>
      </c>
      <c r="B202" t="s">
        <v>37</v>
      </c>
      <c r="C202" t="s">
        <v>39</v>
      </c>
      <c r="D202">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39</v>
      </c>
      <c r="D20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40</v>
      </c>
      <c r="D205">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40</v>
      </c>
      <c r="D206">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39</v>
      </c>
      <c r="D207">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39</v>
      </c>
      <c r="D208">
        <v>90000</v>
      </c>
      <c r="E208">
        <v>5</v>
      </c>
      <c r="F208" t="s">
        <v>19</v>
      </c>
      <c r="G208" t="s">
        <v>21</v>
      </c>
      <c r="H208" t="s">
        <v>18</v>
      </c>
      <c r="I208">
        <v>2</v>
      </c>
      <c r="J208" t="s">
        <v>47</v>
      </c>
      <c r="K208" t="s">
        <v>17</v>
      </c>
      <c r="L208">
        <v>62</v>
      </c>
      <c r="M208" t="str">
        <f t="shared" si="3"/>
        <v>Old 55+</v>
      </c>
      <c r="N208" t="s">
        <v>18</v>
      </c>
    </row>
    <row r="209" spans="1:14" x14ac:dyDescent="0.3">
      <c r="A209">
        <v>28729</v>
      </c>
      <c r="B209" t="s">
        <v>37</v>
      </c>
      <c r="C209" t="s">
        <v>40</v>
      </c>
      <c r="D209">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40</v>
      </c>
      <c r="D210">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40</v>
      </c>
      <c r="D211">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40</v>
      </c>
      <c r="D212">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40</v>
      </c>
      <c r="D21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40</v>
      </c>
      <c r="D214">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v>70000</v>
      </c>
      <c r="E215">
        <v>0</v>
      </c>
      <c r="F215" t="s">
        <v>13</v>
      </c>
      <c r="G215" t="s">
        <v>21</v>
      </c>
      <c r="H215" t="s">
        <v>18</v>
      </c>
      <c r="I215">
        <v>4</v>
      </c>
      <c r="J215" t="s">
        <v>47</v>
      </c>
      <c r="K215" t="s">
        <v>24</v>
      </c>
      <c r="L215">
        <v>31</v>
      </c>
      <c r="M215" t="str">
        <f t="shared" si="3"/>
        <v>Middle Age 31-54</v>
      </c>
      <c r="N215" t="s">
        <v>15</v>
      </c>
    </row>
    <row r="216" spans="1:14" x14ac:dyDescent="0.3">
      <c r="A216">
        <v>25553</v>
      </c>
      <c r="B216" t="s">
        <v>36</v>
      </c>
      <c r="C216" t="s">
        <v>39</v>
      </c>
      <c r="D216">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39</v>
      </c>
      <c r="D217">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39</v>
      </c>
      <c r="D218">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40</v>
      </c>
      <c r="D219">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39</v>
      </c>
      <c r="D221">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39</v>
      </c>
      <c r="D22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40</v>
      </c>
      <c r="D224">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40</v>
      </c>
      <c r="D225">
        <v>70000</v>
      </c>
      <c r="E225">
        <v>5</v>
      </c>
      <c r="F225" t="s">
        <v>13</v>
      </c>
      <c r="G225" t="s">
        <v>21</v>
      </c>
      <c r="H225" t="s">
        <v>15</v>
      </c>
      <c r="I225">
        <v>4</v>
      </c>
      <c r="J225" t="s">
        <v>47</v>
      </c>
      <c r="K225" t="s">
        <v>24</v>
      </c>
      <c r="L225">
        <v>39</v>
      </c>
      <c r="M225" t="str">
        <f t="shared" si="3"/>
        <v>Middle Age 31-54</v>
      </c>
      <c r="N225" t="s">
        <v>18</v>
      </c>
    </row>
    <row r="226" spans="1:14" x14ac:dyDescent="0.3">
      <c r="A226">
        <v>19650</v>
      </c>
      <c r="B226" t="s">
        <v>36</v>
      </c>
      <c r="C226" t="s">
        <v>40</v>
      </c>
      <c r="D226">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39</v>
      </c>
      <c r="D227">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40</v>
      </c>
      <c r="D228">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39</v>
      </c>
      <c r="D229">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40</v>
      </c>
      <c r="D230">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39</v>
      </c>
      <c r="D231">
        <v>80000</v>
      </c>
      <c r="E231">
        <v>5</v>
      </c>
      <c r="F231" t="s">
        <v>27</v>
      </c>
      <c r="G231" t="s">
        <v>28</v>
      </c>
      <c r="H231" t="s">
        <v>15</v>
      </c>
      <c r="I231">
        <v>3</v>
      </c>
      <c r="J231" t="s">
        <v>47</v>
      </c>
      <c r="K231" t="s">
        <v>17</v>
      </c>
      <c r="L231">
        <v>57</v>
      </c>
      <c r="M231" t="str">
        <f t="shared" si="3"/>
        <v>Old 55+</v>
      </c>
      <c r="N231" t="s">
        <v>18</v>
      </c>
    </row>
    <row r="232" spans="1:14" x14ac:dyDescent="0.3">
      <c r="A232">
        <v>22830</v>
      </c>
      <c r="B232" t="s">
        <v>36</v>
      </c>
      <c r="C232" t="s">
        <v>39</v>
      </c>
      <c r="D232">
        <v>120000</v>
      </c>
      <c r="E232">
        <v>4</v>
      </c>
      <c r="F232" t="s">
        <v>19</v>
      </c>
      <c r="G232" t="s">
        <v>28</v>
      </c>
      <c r="H232" t="s">
        <v>15</v>
      </c>
      <c r="I232">
        <v>3</v>
      </c>
      <c r="J232" t="s">
        <v>47</v>
      </c>
      <c r="K232" t="s">
        <v>17</v>
      </c>
      <c r="L232">
        <v>56</v>
      </c>
      <c r="M232" t="str">
        <f t="shared" si="3"/>
        <v>Old 55+</v>
      </c>
      <c r="N232" t="s">
        <v>18</v>
      </c>
    </row>
    <row r="233" spans="1:14" x14ac:dyDescent="0.3">
      <c r="A233">
        <v>14777</v>
      </c>
      <c r="B233" t="s">
        <v>36</v>
      </c>
      <c r="C233" t="s">
        <v>40</v>
      </c>
      <c r="D23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40</v>
      </c>
      <c r="D234">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39</v>
      </c>
      <c r="D235">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v>90000</v>
      </c>
      <c r="E236">
        <v>0</v>
      </c>
      <c r="F236" t="s">
        <v>13</v>
      </c>
      <c r="G236" t="s">
        <v>21</v>
      </c>
      <c r="H236" t="s">
        <v>18</v>
      </c>
      <c r="I236">
        <v>4</v>
      </c>
      <c r="J236" t="s">
        <v>47</v>
      </c>
      <c r="K236" t="s">
        <v>24</v>
      </c>
      <c r="L236">
        <v>35</v>
      </c>
      <c r="M236" t="str">
        <f t="shared" si="3"/>
        <v>Middle Age 31-54</v>
      </c>
      <c r="N236" t="s">
        <v>15</v>
      </c>
    </row>
    <row r="237" spans="1:14" x14ac:dyDescent="0.3">
      <c r="A237">
        <v>11340</v>
      </c>
      <c r="B237" t="s">
        <v>36</v>
      </c>
      <c r="C237" t="s">
        <v>40</v>
      </c>
      <c r="D237">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40</v>
      </c>
      <c r="D238">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40</v>
      </c>
      <c r="D239">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40</v>
      </c>
      <c r="D241">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39</v>
      </c>
      <c r="D242">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40</v>
      </c>
      <c r="D24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40</v>
      </c>
      <c r="D245">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40</v>
      </c>
      <c r="D246">
        <v>120000</v>
      </c>
      <c r="E246">
        <v>3</v>
      </c>
      <c r="F246" t="s">
        <v>13</v>
      </c>
      <c r="G246" t="s">
        <v>28</v>
      </c>
      <c r="H246" t="s">
        <v>18</v>
      </c>
      <c r="I246">
        <v>2</v>
      </c>
      <c r="J246" t="s">
        <v>47</v>
      </c>
      <c r="K246" t="s">
        <v>17</v>
      </c>
      <c r="L246">
        <v>52</v>
      </c>
      <c r="M246" t="str">
        <f t="shared" si="3"/>
        <v>Middle Age 31-54</v>
      </c>
      <c r="N246" t="s">
        <v>15</v>
      </c>
    </row>
    <row r="247" spans="1:14" x14ac:dyDescent="0.3">
      <c r="A247">
        <v>18494</v>
      </c>
      <c r="B247" t="s">
        <v>36</v>
      </c>
      <c r="C247" t="s">
        <v>39</v>
      </c>
      <c r="D247">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40</v>
      </c>
      <c r="D248">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40</v>
      </c>
      <c r="D249">
        <v>100000</v>
      </c>
      <c r="E249">
        <v>0</v>
      </c>
      <c r="F249" t="s">
        <v>27</v>
      </c>
      <c r="G249" t="s">
        <v>28</v>
      </c>
      <c r="H249" t="s">
        <v>15</v>
      </c>
      <c r="I249">
        <v>4</v>
      </c>
      <c r="J249" t="s">
        <v>47</v>
      </c>
      <c r="K249" t="s">
        <v>24</v>
      </c>
      <c r="L249">
        <v>34</v>
      </c>
      <c r="M249" t="str">
        <f t="shared" si="3"/>
        <v>Middle Age 31-54</v>
      </c>
      <c r="N249" t="s">
        <v>15</v>
      </c>
    </row>
    <row r="250" spans="1:14" x14ac:dyDescent="0.3">
      <c r="A250">
        <v>13981</v>
      </c>
      <c r="B250" t="s">
        <v>36</v>
      </c>
      <c r="C250" t="s">
        <v>40</v>
      </c>
      <c r="D250">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39</v>
      </c>
      <c r="D251">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39</v>
      </c>
      <c r="D252">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39</v>
      </c>
      <c r="D25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39</v>
      </c>
      <c r="D254">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39</v>
      </c>
      <c r="D255">
        <v>100000</v>
      </c>
      <c r="E255">
        <v>3</v>
      </c>
      <c r="F255" t="s">
        <v>29</v>
      </c>
      <c r="G255" t="s">
        <v>21</v>
      </c>
      <c r="H255" t="s">
        <v>15</v>
      </c>
      <c r="I255">
        <v>0</v>
      </c>
      <c r="J255" t="s">
        <v>47</v>
      </c>
      <c r="K255" t="s">
        <v>17</v>
      </c>
      <c r="L255">
        <v>59</v>
      </c>
      <c r="M255" t="str">
        <f t="shared" si="3"/>
        <v>Old 55+</v>
      </c>
      <c r="N255" t="s">
        <v>15</v>
      </c>
    </row>
    <row r="256" spans="1:14" x14ac:dyDescent="0.3">
      <c r="A256">
        <v>21375</v>
      </c>
      <c r="B256" t="s">
        <v>37</v>
      </c>
      <c r="C256" t="s">
        <v>39</v>
      </c>
      <c r="D256">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40</v>
      </c>
      <c r="D257">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39</v>
      </c>
      <c r="D258">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40</v>
      </c>
      <c r="D259">
        <v>50000</v>
      </c>
      <c r="E259">
        <v>0</v>
      </c>
      <c r="F259" t="s">
        <v>31</v>
      </c>
      <c r="G259" t="s">
        <v>14</v>
      </c>
      <c r="H259" t="s">
        <v>15</v>
      </c>
      <c r="I259">
        <v>0</v>
      </c>
      <c r="J259" t="s">
        <v>16</v>
      </c>
      <c r="K259" t="s">
        <v>17</v>
      </c>
      <c r="L259">
        <v>36</v>
      </c>
      <c r="M259" t="str">
        <f t="shared" ref="M259:M322" si="4">IF(L259&gt;54,"Old 55+",IF(L259&gt;=31,"Middle Age 31-54",IF(L259&lt;31,"Adolescent 0-30", "Invalid")))</f>
        <v>Middle Age 31-54</v>
      </c>
      <c r="N259" t="s">
        <v>15</v>
      </c>
    </row>
    <row r="260" spans="1:14" x14ac:dyDescent="0.3">
      <c r="A260">
        <v>14193</v>
      </c>
      <c r="B260" t="s">
        <v>37</v>
      </c>
      <c r="C260" t="s">
        <v>40</v>
      </c>
      <c r="D260">
        <v>100000</v>
      </c>
      <c r="E260">
        <v>3</v>
      </c>
      <c r="F260" t="s">
        <v>19</v>
      </c>
      <c r="G260" t="s">
        <v>28</v>
      </c>
      <c r="H260" t="s">
        <v>15</v>
      </c>
      <c r="I260">
        <v>4</v>
      </c>
      <c r="J260" t="s">
        <v>47</v>
      </c>
      <c r="K260" t="s">
        <v>17</v>
      </c>
      <c r="L260">
        <v>56</v>
      </c>
      <c r="M260" t="str">
        <f t="shared" si="4"/>
        <v>Old 55+</v>
      </c>
      <c r="N260" t="s">
        <v>18</v>
      </c>
    </row>
    <row r="261" spans="1:14" x14ac:dyDescent="0.3">
      <c r="A261">
        <v>12705</v>
      </c>
      <c r="B261" t="s">
        <v>36</v>
      </c>
      <c r="C261" t="s">
        <v>39</v>
      </c>
      <c r="D261">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40</v>
      </c>
      <c r="D262">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40</v>
      </c>
      <c r="D26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40</v>
      </c>
      <c r="D264">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40</v>
      </c>
      <c r="D265">
        <v>70000</v>
      </c>
      <c r="E265">
        <v>5</v>
      </c>
      <c r="F265" t="s">
        <v>13</v>
      </c>
      <c r="G265" t="s">
        <v>21</v>
      </c>
      <c r="H265" t="s">
        <v>15</v>
      </c>
      <c r="I265">
        <v>3</v>
      </c>
      <c r="J265" t="s">
        <v>47</v>
      </c>
      <c r="K265" t="s">
        <v>24</v>
      </c>
      <c r="L265">
        <v>39</v>
      </c>
      <c r="M265" t="str">
        <f t="shared" si="4"/>
        <v>Middle Age 31-54</v>
      </c>
      <c r="N265" t="s">
        <v>18</v>
      </c>
    </row>
    <row r="266" spans="1:14" x14ac:dyDescent="0.3">
      <c r="A266">
        <v>17964</v>
      </c>
      <c r="B266" t="s">
        <v>36</v>
      </c>
      <c r="C266" t="s">
        <v>39</v>
      </c>
      <c r="D266">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40</v>
      </c>
      <c r="D267">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40</v>
      </c>
      <c r="D268">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39</v>
      </c>
      <c r="D270">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40</v>
      </c>
      <c r="D271">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40</v>
      </c>
      <c r="D272">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40</v>
      </c>
      <c r="D27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40</v>
      </c>
      <c r="D275">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40</v>
      </c>
      <c r="D276">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40</v>
      </c>
      <c r="D277">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40</v>
      </c>
      <c r="D278">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40</v>
      </c>
      <c r="D279">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39</v>
      </c>
      <c r="D280">
        <v>100000</v>
      </c>
      <c r="E280">
        <v>0</v>
      </c>
      <c r="F280" t="s">
        <v>27</v>
      </c>
      <c r="G280" t="s">
        <v>28</v>
      </c>
      <c r="H280" t="s">
        <v>15</v>
      </c>
      <c r="I280">
        <v>3</v>
      </c>
      <c r="J280" t="s">
        <v>47</v>
      </c>
      <c r="K280" t="s">
        <v>24</v>
      </c>
      <c r="L280">
        <v>35</v>
      </c>
      <c r="M280" t="str">
        <f t="shared" si="4"/>
        <v>Middle Age 31-54</v>
      </c>
      <c r="N280" t="s">
        <v>15</v>
      </c>
    </row>
    <row r="281" spans="1:14" x14ac:dyDescent="0.3">
      <c r="A281">
        <v>16390</v>
      </c>
      <c r="B281" t="s">
        <v>37</v>
      </c>
      <c r="C281" t="s">
        <v>39</v>
      </c>
      <c r="D281">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40</v>
      </c>
      <c r="D282">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39</v>
      </c>
      <c r="D28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39</v>
      </c>
      <c r="D284">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40</v>
      </c>
      <c r="D285">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39</v>
      </c>
      <c r="D286">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40</v>
      </c>
      <c r="D287">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40</v>
      </c>
      <c r="D288">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40</v>
      </c>
      <c r="D289">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39</v>
      </c>
      <c r="D290">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39</v>
      </c>
      <c r="D291">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40</v>
      </c>
      <c r="D292">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39</v>
      </c>
      <c r="D29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40</v>
      </c>
      <c r="D294">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40</v>
      </c>
      <c r="D295">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39</v>
      </c>
      <c r="D296">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40</v>
      </c>
      <c r="D297">
        <v>110000</v>
      </c>
      <c r="E297">
        <v>0</v>
      </c>
      <c r="F297" t="s">
        <v>19</v>
      </c>
      <c r="G297" t="s">
        <v>28</v>
      </c>
      <c r="H297" t="s">
        <v>15</v>
      </c>
      <c r="I297">
        <v>3</v>
      </c>
      <c r="J297" t="s">
        <v>47</v>
      </c>
      <c r="K297" t="s">
        <v>24</v>
      </c>
      <c r="L297">
        <v>32</v>
      </c>
      <c r="M297" t="str">
        <f t="shared" si="4"/>
        <v>Middle Age 31-54</v>
      </c>
      <c r="N297" t="s">
        <v>15</v>
      </c>
    </row>
    <row r="298" spans="1:14" x14ac:dyDescent="0.3">
      <c r="A298">
        <v>26663</v>
      </c>
      <c r="B298" t="s">
        <v>37</v>
      </c>
      <c r="C298" t="s">
        <v>40</v>
      </c>
      <c r="D298">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39</v>
      </c>
      <c r="D299">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40</v>
      </c>
      <c r="D300">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40</v>
      </c>
      <c r="D301">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40</v>
      </c>
      <c r="D302">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40</v>
      </c>
      <c r="D30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40</v>
      </c>
      <c r="D305">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39</v>
      </c>
      <c r="D306">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39</v>
      </c>
      <c r="D307">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39</v>
      </c>
      <c r="D308">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39</v>
      </c>
      <c r="D309">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39</v>
      </c>
      <c r="D310">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40</v>
      </c>
      <c r="D311">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39</v>
      </c>
      <c r="D312">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39</v>
      </c>
      <c r="D31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39</v>
      </c>
      <c r="D314">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39</v>
      </c>
      <c r="D315">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39</v>
      </c>
      <c r="D316">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39</v>
      </c>
      <c r="D317">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39</v>
      </c>
      <c r="D318">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39</v>
      </c>
      <c r="D319">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39</v>
      </c>
      <c r="D320">
        <v>130000</v>
      </c>
      <c r="E320">
        <v>4</v>
      </c>
      <c r="F320" t="s">
        <v>19</v>
      </c>
      <c r="G320" t="s">
        <v>21</v>
      </c>
      <c r="H320" t="s">
        <v>18</v>
      </c>
      <c r="I320">
        <v>3</v>
      </c>
      <c r="J320" t="s">
        <v>47</v>
      </c>
      <c r="K320" t="s">
        <v>17</v>
      </c>
      <c r="L320">
        <v>54</v>
      </c>
      <c r="M320" t="str">
        <f t="shared" si="4"/>
        <v>Middle Age 31-54</v>
      </c>
      <c r="N320" t="s">
        <v>18</v>
      </c>
    </row>
    <row r="321" spans="1:14" x14ac:dyDescent="0.3">
      <c r="A321">
        <v>11386</v>
      </c>
      <c r="B321" t="s">
        <v>36</v>
      </c>
      <c r="C321" t="s">
        <v>40</v>
      </c>
      <c r="D321">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39</v>
      </c>
      <c r="D322">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40</v>
      </c>
      <c r="D323">
        <v>160000</v>
      </c>
      <c r="E323">
        <v>0</v>
      </c>
      <c r="F323" t="s">
        <v>31</v>
      </c>
      <c r="G323" t="s">
        <v>28</v>
      </c>
      <c r="H323" t="s">
        <v>18</v>
      </c>
      <c r="I323">
        <v>3</v>
      </c>
      <c r="J323" t="s">
        <v>16</v>
      </c>
      <c r="K323" t="s">
        <v>24</v>
      </c>
      <c r="L323">
        <v>47</v>
      </c>
      <c r="M323" t="str">
        <f t="shared" ref="M323:M386" si="5">IF(L323&gt;54,"Old 55+",IF(L323&gt;=31,"Middle Age 31-54",IF(L323&lt;31,"Adolescent 0-30", "Invalid")))</f>
        <v>Middle Age 31-54</v>
      </c>
      <c r="N323" t="s">
        <v>15</v>
      </c>
    </row>
    <row r="324" spans="1:14" x14ac:dyDescent="0.3">
      <c r="A324">
        <v>16410</v>
      </c>
      <c r="B324" t="s">
        <v>37</v>
      </c>
      <c r="C324" t="s">
        <v>40</v>
      </c>
      <c r="D324">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40</v>
      </c>
      <c r="D325">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39</v>
      </c>
      <c r="D326">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39</v>
      </c>
      <c r="D327">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40</v>
      </c>
      <c r="D328">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39</v>
      </c>
      <c r="D330">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40</v>
      </c>
      <c r="D331">
        <v>90000</v>
      </c>
      <c r="E331">
        <v>5</v>
      </c>
      <c r="F331" t="s">
        <v>29</v>
      </c>
      <c r="G331" t="s">
        <v>14</v>
      </c>
      <c r="H331" t="s">
        <v>15</v>
      </c>
      <c r="I331">
        <v>2</v>
      </c>
      <c r="J331" t="s">
        <v>47</v>
      </c>
      <c r="K331" t="s">
        <v>17</v>
      </c>
      <c r="L331">
        <v>59</v>
      </c>
      <c r="M331" t="str">
        <f t="shared" si="5"/>
        <v>Old 55+</v>
      </c>
      <c r="N331" t="s">
        <v>18</v>
      </c>
    </row>
    <row r="332" spans="1:14" x14ac:dyDescent="0.3">
      <c r="A332">
        <v>24898</v>
      </c>
      <c r="B332" t="s">
        <v>37</v>
      </c>
      <c r="C332" t="s">
        <v>40</v>
      </c>
      <c r="D332">
        <v>80000</v>
      </c>
      <c r="E332">
        <v>0</v>
      </c>
      <c r="F332" t="s">
        <v>13</v>
      </c>
      <c r="G332" t="s">
        <v>21</v>
      </c>
      <c r="H332" t="s">
        <v>15</v>
      </c>
      <c r="I332">
        <v>3</v>
      </c>
      <c r="J332" t="s">
        <v>47</v>
      </c>
      <c r="K332" t="s">
        <v>24</v>
      </c>
      <c r="L332">
        <v>32</v>
      </c>
      <c r="M332" t="str">
        <f t="shared" si="5"/>
        <v>Middle Age 31-54</v>
      </c>
      <c r="N332" t="s">
        <v>18</v>
      </c>
    </row>
    <row r="333" spans="1:14" x14ac:dyDescent="0.3">
      <c r="A333">
        <v>19508</v>
      </c>
      <c r="B333" t="s">
        <v>36</v>
      </c>
      <c r="C333" t="s">
        <v>39</v>
      </c>
      <c r="D33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40</v>
      </c>
      <c r="D334">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39</v>
      </c>
      <c r="D335">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39</v>
      </c>
      <c r="D336">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39</v>
      </c>
      <c r="D337">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39</v>
      </c>
      <c r="D338">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39</v>
      </c>
      <c r="D339">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40</v>
      </c>
      <c r="D340">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39</v>
      </c>
      <c r="D341">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39</v>
      </c>
      <c r="D342">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40</v>
      </c>
      <c r="D34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39</v>
      </c>
      <c r="D344">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40</v>
      </c>
      <c r="D345">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39</v>
      </c>
      <c r="D346">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40</v>
      </c>
      <c r="D347">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39</v>
      </c>
      <c r="D348">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40</v>
      </c>
      <c r="D349">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39</v>
      </c>
      <c r="D350">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40</v>
      </c>
      <c r="D351">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40</v>
      </c>
      <c r="D354">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39</v>
      </c>
      <c r="D355">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39</v>
      </c>
      <c r="D356">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39</v>
      </c>
      <c r="D357">
        <v>80000</v>
      </c>
      <c r="E357">
        <v>0</v>
      </c>
      <c r="F357" t="s">
        <v>13</v>
      </c>
      <c r="G357" t="s">
        <v>21</v>
      </c>
      <c r="H357" t="s">
        <v>15</v>
      </c>
      <c r="I357">
        <v>3</v>
      </c>
      <c r="J357" t="s">
        <v>47</v>
      </c>
      <c r="K357" t="s">
        <v>24</v>
      </c>
      <c r="L357">
        <v>32</v>
      </c>
      <c r="M357" t="str">
        <f t="shared" si="5"/>
        <v>Middle Age 31-54</v>
      </c>
      <c r="N357" t="s">
        <v>18</v>
      </c>
    </row>
    <row r="358" spans="1:14" x14ac:dyDescent="0.3">
      <c r="A358">
        <v>23608</v>
      </c>
      <c r="B358" t="s">
        <v>36</v>
      </c>
      <c r="C358" t="s">
        <v>40</v>
      </c>
      <c r="D358">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40</v>
      </c>
      <c r="D359">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39</v>
      </c>
      <c r="D360">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39</v>
      </c>
      <c r="D361">
        <v>80000</v>
      </c>
      <c r="E361">
        <v>0</v>
      </c>
      <c r="F361" t="s">
        <v>13</v>
      </c>
      <c r="G361" t="s">
        <v>21</v>
      </c>
      <c r="H361" t="s">
        <v>15</v>
      </c>
      <c r="I361">
        <v>3</v>
      </c>
      <c r="J361" t="s">
        <v>47</v>
      </c>
      <c r="K361" t="s">
        <v>24</v>
      </c>
      <c r="L361">
        <v>30</v>
      </c>
      <c r="M361" t="str">
        <f t="shared" si="5"/>
        <v>Adolescent 0-30</v>
      </c>
      <c r="N361" t="s">
        <v>18</v>
      </c>
    </row>
    <row r="362" spans="1:14" x14ac:dyDescent="0.3">
      <c r="A362">
        <v>13082</v>
      </c>
      <c r="B362" t="s">
        <v>37</v>
      </c>
      <c r="C362" t="s">
        <v>39</v>
      </c>
      <c r="D362">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40</v>
      </c>
      <c r="D36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40</v>
      </c>
      <c r="D365">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40</v>
      </c>
      <c r="D366">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40</v>
      </c>
      <c r="D367">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39</v>
      </c>
      <c r="D368">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40</v>
      </c>
      <c r="D369">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40</v>
      </c>
      <c r="D370">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40</v>
      </c>
      <c r="D371">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40</v>
      </c>
      <c r="D372">
        <v>100000</v>
      </c>
      <c r="E372">
        <v>4</v>
      </c>
      <c r="F372" t="s">
        <v>13</v>
      </c>
      <c r="G372" t="s">
        <v>21</v>
      </c>
      <c r="H372" t="s">
        <v>15</v>
      </c>
      <c r="I372">
        <v>1</v>
      </c>
      <c r="J372" t="s">
        <v>47</v>
      </c>
      <c r="K372" t="s">
        <v>24</v>
      </c>
      <c r="L372">
        <v>46</v>
      </c>
      <c r="M372" t="str">
        <f t="shared" si="5"/>
        <v>Middle Age 31-54</v>
      </c>
      <c r="N372" t="s">
        <v>18</v>
      </c>
    </row>
    <row r="373" spans="1:14" x14ac:dyDescent="0.3">
      <c r="A373">
        <v>22918</v>
      </c>
      <c r="B373" t="s">
        <v>37</v>
      </c>
      <c r="C373" t="s">
        <v>39</v>
      </c>
      <c r="D37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39</v>
      </c>
      <c r="D374">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39</v>
      </c>
      <c r="D375">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40</v>
      </c>
      <c r="D376">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40</v>
      </c>
      <c r="D377">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39</v>
      </c>
      <c r="D378">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39</v>
      </c>
      <c r="D379">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39</v>
      </c>
      <c r="D380">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39</v>
      </c>
      <c r="D381">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39</v>
      </c>
      <c r="D382">
        <v>70000</v>
      </c>
      <c r="E382">
        <v>0</v>
      </c>
      <c r="F382" t="s">
        <v>13</v>
      </c>
      <c r="G382" t="s">
        <v>21</v>
      </c>
      <c r="H382" t="s">
        <v>18</v>
      </c>
      <c r="I382">
        <v>3</v>
      </c>
      <c r="J382" t="s">
        <v>47</v>
      </c>
      <c r="K382" t="s">
        <v>24</v>
      </c>
      <c r="L382">
        <v>30</v>
      </c>
      <c r="M382" t="str">
        <f t="shared" si="5"/>
        <v>Adolescent 0-30</v>
      </c>
      <c r="N382" t="s">
        <v>15</v>
      </c>
    </row>
    <row r="383" spans="1:14" x14ac:dyDescent="0.3">
      <c r="A383">
        <v>22974</v>
      </c>
      <c r="B383" t="s">
        <v>36</v>
      </c>
      <c r="C383" t="s">
        <v>40</v>
      </c>
      <c r="D38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39</v>
      </c>
      <c r="D384">
        <v>80000</v>
      </c>
      <c r="E384">
        <v>4</v>
      </c>
      <c r="F384" t="s">
        <v>19</v>
      </c>
      <c r="G384" t="s">
        <v>21</v>
      </c>
      <c r="H384" t="s">
        <v>15</v>
      </c>
      <c r="I384">
        <v>2</v>
      </c>
      <c r="J384" t="s">
        <v>47</v>
      </c>
      <c r="K384" t="s">
        <v>17</v>
      </c>
      <c r="L384">
        <v>53</v>
      </c>
      <c r="M384" t="str">
        <f t="shared" si="5"/>
        <v>Middle Age 31-54</v>
      </c>
      <c r="N384" t="s">
        <v>18</v>
      </c>
    </row>
    <row r="385" spans="1:14" x14ac:dyDescent="0.3">
      <c r="A385">
        <v>17978</v>
      </c>
      <c r="B385" t="s">
        <v>36</v>
      </c>
      <c r="C385" t="s">
        <v>39</v>
      </c>
      <c r="D385">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40</v>
      </c>
      <c r="D386">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v>30000</v>
      </c>
      <c r="E387">
        <v>3</v>
      </c>
      <c r="F387" t="s">
        <v>19</v>
      </c>
      <c r="G387" t="s">
        <v>20</v>
      </c>
      <c r="H387" t="s">
        <v>15</v>
      </c>
      <c r="I387">
        <v>0</v>
      </c>
      <c r="J387" t="s">
        <v>16</v>
      </c>
      <c r="K387" t="s">
        <v>17</v>
      </c>
      <c r="L387">
        <v>43</v>
      </c>
      <c r="M387" t="str">
        <f t="shared" ref="M387:M450" si="6">IF(L387&gt;54,"Old 55+",IF(L387&gt;=31,"Middle Age 31-54",IF(L387&lt;31,"Adolescent 0-30", "Invalid")))</f>
        <v>Middle Age 31-54</v>
      </c>
      <c r="N387" t="s">
        <v>18</v>
      </c>
    </row>
    <row r="388" spans="1:14" x14ac:dyDescent="0.3">
      <c r="A388">
        <v>28957</v>
      </c>
      <c r="B388" t="s">
        <v>37</v>
      </c>
      <c r="C388" t="s">
        <v>40</v>
      </c>
      <c r="D388">
        <v>120000</v>
      </c>
      <c r="E388">
        <v>0</v>
      </c>
      <c r="F388" t="s">
        <v>29</v>
      </c>
      <c r="G388" t="s">
        <v>21</v>
      </c>
      <c r="H388" t="s">
        <v>15</v>
      </c>
      <c r="I388">
        <v>4</v>
      </c>
      <c r="J388" t="s">
        <v>47</v>
      </c>
      <c r="K388" t="s">
        <v>24</v>
      </c>
      <c r="L388">
        <v>34</v>
      </c>
      <c r="M388" t="str">
        <f t="shared" si="6"/>
        <v>Middle Age 31-54</v>
      </c>
      <c r="N388" t="s">
        <v>15</v>
      </c>
    </row>
    <row r="389" spans="1:14" x14ac:dyDescent="0.3">
      <c r="A389">
        <v>13690</v>
      </c>
      <c r="B389" t="s">
        <v>37</v>
      </c>
      <c r="C389" t="s">
        <v>40</v>
      </c>
      <c r="D389">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40</v>
      </c>
      <c r="D390">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40</v>
      </c>
      <c r="D391">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39</v>
      </c>
      <c r="D392">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40</v>
      </c>
      <c r="D39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39</v>
      </c>
      <c r="D394">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40</v>
      </c>
      <c r="D395">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40</v>
      </c>
      <c r="D396">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39</v>
      </c>
      <c r="D397">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39</v>
      </c>
      <c r="D398">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40</v>
      </c>
      <c r="D399">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39</v>
      </c>
      <c r="D400">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40</v>
      </c>
      <c r="D401">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40</v>
      </c>
      <c r="D402">
        <v>110000</v>
      </c>
      <c r="E402">
        <v>3</v>
      </c>
      <c r="F402" t="s">
        <v>13</v>
      </c>
      <c r="G402" t="s">
        <v>28</v>
      </c>
      <c r="H402" t="s">
        <v>15</v>
      </c>
      <c r="I402">
        <v>4</v>
      </c>
      <c r="J402" t="s">
        <v>47</v>
      </c>
      <c r="K402" t="s">
        <v>17</v>
      </c>
      <c r="L402">
        <v>53</v>
      </c>
      <c r="M402" t="str">
        <f t="shared" si="6"/>
        <v>Middle Age 31-54</v>
      </c>
      <c r="N402" t="s">
        <v>18</v>
      </c>
    </row>
    <row r="403" spans="1:14" x14ac:dyDescent="0.3">
      <c r="A403">
        <v>11555</v>
      </c>
      <c r="B403" t="s">
        <v>36</v>
      </c>
      <c r="C403" t="s">
        <v>40</v>
      </c>
      <c r="D40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39</v>
      </c>
      <c r="D404">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39</v>
      </c>
      <c r="D405">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39</v>
      </c>
      <c r="D406">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40</v>
      </c>
      <c r="D407">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40</v>
      </c>
      <c r="D408">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40</v>
      </c>
      <c r="D409">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40</v>
      </c>
      <c r="D410">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40</v>
      </c>
      <c r="D411">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40</v>
      </c>
      <c r="D412">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39</v>
      </c>
      <c r="D41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39</v>
      </c>
      <c r="D414">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40</v>
      </c>
      <c r="D415">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40</v>
      </c>
      <c r="D416">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40</v>
      </c>
      <c r="D417">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39</v>
      </c>
      <c r="D418">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40</v>
      </c>
      <c r="D419">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39</v>
      </c>
      <c r="D420">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39</v>
      </c>
      <c r="D421">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40</v>
      </c>
      <c r="D422">
        <v>100000</v>
      </c>
      <c r="E422">
        <v>2</v>
      </c>
      <c r="F422" t="s">
        <v>13</v>
      </c>
      <c r="G422" t="s">
        <v>28</v>
      </c>
      <c r="H422" t="s">
        <v>15</v>
      </c>
      <c r="I422">
        <v>4</v>
      </c>
      <c r="J422" t="s">
        <v>47</v>
      </c>
      <c r="K422" t="s">
        <v>17</v>
      </c>
      <c r="L422">
        <v>59</v>
      </c>
      <c r="M422" t="str">
        <f t="shared" si="6"/>
        <v>Old 55+</v>
      </c>
      <c r="N422" t="s">
        <v>18</v>
      </c>
    </row>
    <row r="423" spans="1:14" x14ac:dyDescent="0.3">
      <c r="A423">
        <v>14547</v>
      </c>
      <c r="B423" t="s">
        <v>36</v>
      </c>
      <c r="C423" t="s">
        <v>39</v>
      </c>
      <c r="D42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39</v>
      </c>
      <c r="D424">
        <v>110000</v>
      </c>
      <c r="E424">
        <v>0</v>
      </c>
      <c r="F424" t="s">
        <v>19</v>
      </c>
      <c r="G424" t="s">
        <v>28</v>
      </c>
      <c r="H424" t="s">
        <v>18</v>
      </c>
      <c r="I424">
        <v>3</v>
      </c>
      <c r="J424" t="s">
        <v>47</v>
      </c>
      <c r="K424" t="s">
        <v>24</v>
      </c>
      <c r="L424">
        <v>32</v>
      </c>
      <c r="M424" t="str">
        <f t="shared" si="6"/>
        <v>Middle Age 31-54</v>
      </c>
      <c r="N424" t="s">
        <v>15</v>
      </c>
    </row>
    <row r="425" spans="1:14" x14ac:dyDescent="0.3">
      <c r="A425">
        <v>27169</v>
      </c>
      <c r="B425" t="s">
        <v>37</v>
      </c>
      <c r="C425" t="s">
        <v>39</v>
      </c>
      <c r="D425">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40</v>
      </c>
      <c r="D426">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39</v>
      </c>
      <c r="D427">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39</v>
      </c>
      <c r="D428">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40</v>
      </c>
      <c r="D429">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39</v>
      </c>
      <c r="D430">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40</v>
      </c>
      <c r="D431">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40</v>
      </c>
      <c r="D432">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39</v>
      </c>
      <c r="D43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40</v>
      </c>
      <c r="D434">
        <v>110000</v>
      </c>
      <c r="E434">
        <v>0</v>
      </c>
      <c r="F434" t="s">
        <v>27</v>
      </c>
      <c r="G434" t="s">
        <v>28</v>
      </c>
      <c r="H434" t="s">
        <v>15</v>
      </c>
      <c r="I434">
        <v>3</v>
      </c>
      <c r="J434" t="s">
        <v>47</v>
      </c>
      <c r="K434" t="s">
        <v>24</v>
      </c>
      <c r="L434">
        <v>34</v>
      </c>
      <c r="M434" t="str">
        <f t="shared" si="6"/>
        <v>Middle Age 31-54</v>
      </c>
      <c r="N434" t="s">
        <v>15</v>
      </c>
    </row>
    <row r="435" spans="1:14" x14ac:dyDescent="0.3">
      <c r="A435">
        <v>27814</v>
      </c>
      <c r="B435" t="s">
        <v>37</v>
      </c>
      <c r="C435" t="s">
        <v>40</v>
      </c>
      <c r="D435">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40</v>
      </c>
      <c r="D436">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40</v>
      </c>
      <c r="D437">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40</v>
      </c>
      <c r="D438">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40</v>
      </c>
      <c r="D439">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40</v>
      </c>
      <c r="D440">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39</v>
      </c>
      <c r="D441">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39</v>
      </c>
      <c r="D442">
        <v>90000</v>
      </c>
      <c r="E442">
        <v>0</v>
      </c>
      <c r="F442" t="s">
        <v>13</v>
      </c>
      <c r="G442" t="s">
        <v>21</v>
      </c>
      <c r="H442" t="s">
        <v>18</v>
      </c>
      <c r="I442">
        <v>3</v>
      </c>
      <c r="J442" t="s">
        <v>47</v>
      </c>
      <c r="K442" t="s">
        <v>24</v>
      </c>
      <c r="L442">
        <v>34</v>
      </c>
      <c r="M442" t="str">
        <f t="shared" si="6"/>
        <v>Middle Age 31-54</v>
      </c>
      <c r="N442" t="s">
        <v>15</v>
      </c>
    </row>
    <row r="443" spans="1:14" x14ac:dyDescent="0.3">
      <c r="A443">
        <v>11061</v>
      </c>
      <c r="B443" t="s">
        <v>36</v>
      </c>
      <c r="C443" t="s">
        <v>39</v>
      </c>
      <c r="D44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39</v>
      </c>
      <c r="D444">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40</v>
      </c>
      <c r="D445">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39</v>
      </c>
      <c r="D446">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40</v>
      </c>
      <c r="D447">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40</v>
      </c>
      <c r="D448">
        <v>130000</v>
      </c>
      <c r="E448">
        <v>0</v>
      </c>
      <c r="F448" t="s">
        <v>31</v>
      </c>
      <c r="G448" t="s">
        <v>28</v>
      </c>
      <c r="H448" t="s">
        <v>15</v>
      </c>
      <c r="I448">
        <v>1</v>
      </c>
      <c r="J448" t="s">
        <v>47</v>
      </c>
      <c r="K448" t="s">
        <v>24</v>
      </c>
      <c r="L448">
        <v>48</v>
      </c>
      <c r="M448" t="str">
        <f t="shared" si="6"/>
        <v>Middle Age 31-54</v>
      </c>
      <c r="N448" t="s">
        <v>18</v>
      </c>
    </row>
    <row r="449" spans="1:14" x14ac:dyDescent="0.3">
      <c r="A449">
        <v>20711</v>
      </c>
      <c r="B449" t="s">
        <v>36</v>
      </c>
      <c r="C449" t="s">
        <v>40</v>
      </c>
      <c r="D449">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40</v>
      </c>
      <c r="D450">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40</v>
      </c>
      <c r="D451">
        <v>40000</v>
      </c>
      <c r="E451">
        <v>1</v>
      </c>
      <c r="F451" t="s">
        <v>13</v>
      </c>
      <c r="G451" t="s">
        <v>14</v>
      </c>
      <c r="H451" t="s">
        <v>15</v>
      </c>
      <c r="I451">
        <v>0</v>
      </c>
      <c r="J451" t="s">
        <v>16</v>
      </c>
      <c r="K451" t="s">
        <v>17</v>
      </c>
      <c r="L451">
        <v>42</v>
      </c>
      <c r="M451" t="str">
        <f t="shared" ref="M451:M514" si="7">IF(L451&gt;54,"Old 55+",IF(L451&gt;=31,"Middle Age 31-54",IF(L451&lt;31,"Adolescent 0-30", "Invalid")))</f>
        <v>Middle Age 31-54</v>
      </c>
      <c r="N451" t="s">
        <v>18</v>
      </c>
    </row>
    <row r="452" spans="1:14" x14ac:dyDescent="0.3">
      <c r="A452">
        <v>16559</v>
      </c>
      <c r="B452" t="s">
        <v>37</v>
      </c>
      <c r="C452" t="s">
        <v>40</v>
      </c>
      <c r="D452">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40</v>
      </c>
      <c r="D45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40</v>
      </c>
      <c r="D454">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40</v>
      </c>
      <c r="D455">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39</v>
      </c>
      <c r="D456">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40</v>
      </c>
      <c r="D457">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39</v>
      </c>
      <c r="D458">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40</v>
      </c>
      <c r="D459">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39</v>
      </c>
      <c r="D460">
        <v>120000</v>
      </c>
      <c r="E460">
        <v>0</v>
      </c>
      <c r="F460" t="s">
        <v>29</v>
      </c>
      <c r="G460" t="s">
        <v>21</v>
      </c>
      <c r="H460" t="s">
        <v>15</v>
      </c>
      <c r="I460">
        <v>4</v>
      </c>
      <c r="J460" t="s">
        <v>47</v>
      </c>
      <c r="K460" t="s">
        <v>24</v>
      </c>
      <c r="L460">
        <v>32</v>
      </c>
      <c r="M460" t="str">
        <f t="shared" si="7"/>
        <v>Middle Age 31-54</v>
      </c>
      <c r="N460" t="s">
        <v>15</v>
      </c>
    </row>
    <row r="461" spans="1:14" x14ac:dyDescent="0.3">
      <c r="A461">
        <v>21554</v>
      </c>
      <c r="B461" t="s">
        <v>37</v>
      </c>
      <c r="C461" t="s">
        <v>40</v>
      </c>
      <c r="D461">
        <v>80000</v>
      </c>
      <c r="E461">
        <v>0</v>
      </c>
      <c r="F461" t="s">
        <v>13</v>
      </c>
      <c r="G461" t="s">
        <v>21</v>
      </c>
      <c r="H461" t="s">
        <v>18</v>
      </c>
      <c r="I461">
        <v>3</v>
      </c>
      <c r="J461" t="s">
        <v>47</v>
      </c>
      <c r="K461" t="s">
        <v>24</v>
      </c>
      <c r="L461">
        <v>33</v>
      </c>
      <c r="M461" t="str">
        <f t="shared" si="7"/>
        <v>Middle Age 31-54</v>
      </c>
      <c r="N461" t="s">
        <v>18</v>
      </c>
    </row>
    <row r="462" spans="1:14" x14ac:dyDescent="0.3">
      <c r="A462">
        <v>13662</v>
      </c>
      <c r="B462" t="s">
        <v>37</v>
      </c>
      <c r="C462" t="s">
        <v>39</v>
      </c>
      <c r="D462">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40</v>
      </c>
      <c r="D46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40</v>
      </c>
      <c r="D464">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39</v>
      </c>
      <c r="D465">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40</v>
      </c>
      <c r="D466">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39</v>
      </c>
      <c r="D467">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40</v>
      </c>
      <c r="D468">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39</v>
      </c>
      <c r="D469">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40</v>
      </c>
      <c r="D470">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40</v>
      </c>
      <c r="D471">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39</v>
      </c>
      <c r="D472">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40</v>
      </c>
      <c r="D474">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40</v>
      </c>
      <c r="D475">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40</v>
      </c>
      <c r="D476">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39</v>
      </c>
      <c r="D477">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40</v>
      </c>
      <c r="D478">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39</v>
      </c>
      <c r="D479">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39</v>
      </c>
      <c r="D480">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39</v>
      </c>
      <c r="D481">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40</v>
      </c>
      <c r="D482">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40</v>
      </c>
      <c r="D48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39</v>
      </c>
      <c r="D484">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39</v>
      </c>
      <c r="D485">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40</v>
      </c>
      <c r="D486">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39</v>
      </c>
      <c r="D487">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40</v>
      </c>
      <c r="D488">
        <v>90000</v>
      </c>
      <c r="E488">
        <v>4</v>
      </c>
      <c r="F488" t="s">
        <v>29</v>
      </c>
      <c r="G488" t="s">
        <v>14</v>
      </c>
      <c r="H488" t="s">
        <v>15</v>
      </c>
      <c r="I488">
        <v>4</v>
      </c>
      <c r="J488" t="s">
        <v>47</v>
      </c>
      <c r="K488" t="s">
        <v>17</v>
      </c>
      <c r="L488">
        <v>58</v>
      </c>
      <c r="M488" t="str">
        <f t="shared" si="7"/>
        <v>Old 55+</v>
      </c>
      <c r="N488" t="s">
        <v>18</v>
      </c>
    </row>
    <row r="489" spans="1:14" x14ac:dyDescent="0.3">
      <c r="A489">
        <v>12821</v>
      </c>
      <c r="B489" t="s">
        <v>36</v>
      </c>
      <c r="C489" t="s">
        <v>39</v>
      </c>
      <c r="D489">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40</v>
      </c>
      <c r="D490">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39</v>
      </c>
      <c r="D491">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39</v>
      </c>
      <c r="D492">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39</v>
      </c>
      <c r="D49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40</v>
      </c>
      <c r="D494">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39</v>
      </c>
      <c r="D495">
        <v>70000</v>
      </c>
      <c r="E495">
        <v>5</v>
      </c>
      <c r="F495" t="s">
        <v>13</v>
      </c>
      <c r="G495" t="s">
        <v>28</v>
      </c>
      <c r="H495" t="s">
        <v>15</v>
      </c>
      <c r="I495">
        <v>3</v>
      </c>
      <c r="J495" t="s">
        <v>47</v>
      </c>
      <c r="K495" t="s">
        <v>32</v>
      </c>
      <c r="L495">
        <v>60</v>
      </c>
      <c r="M495" t="str">
        <f t="shared" si="7"/>
        <v>Old 55+</v>
      </c>
      <c r="N495" t="s">
        <v>15</v>
      </c>
    </row>
    <row r="496" spans="1:14" x14ac:dyDescent="0.3">
      <c r="A496">
        <v>27650</v>
      </c>
      <c r="B496" t="s">
        <v>36</v>
      </c>
      <c r="C496" t="s">
        <v>39</v>
      </c>
      <c r="D496">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39</v>
      </c>
      <c r="D497">
        <v>60000</v>
      </c>
      <c r="E497">
        <v>2</v>
      </c>
      <c r="F497" t="s">
        <v>19</v>
      </c>
      <c r="G497" t="s">
        <v>21</v>
      </c>
      <c r="H497" t="s">
        <v>15</v>
      </c>
      <c r="I497">
        <v>2</v>
      </c>
      <c r="J497" t="s">
        <v>47</v>
      </c>
      <c r="K497" t="s">
        <v>32</v>
      </c>
      <c r="L497">
        <v>56</v>
      </c>
      <c r="M497" t="str">
        <f t="shared" si="7"/>
        <v>Old 55+</v>
      </c>
      <c r="N497" t="s">
        <v>18</v>
      </c>
    </row>
    <row r="498" spans="1:14" x14ac:dyDescent="0.3">
      <c r="A498">
        <v>20678</v>
      </c>
      <c r="B498" t="s">
        <v>37</v>
      </c>
      <c r="C498" t="s">
        <v>40</v>
      </c>
      <c r="D498">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40</v>
      </c>
      <c r="D499">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39</v>
      </c>
      <c r="D500">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40</v>
      </c>
      <c r="D501">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39</v>
      </c>
      <c r="D502">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40</v>
      </c>
      <c r="D50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39</v>
      </c>
      <c r="D504">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40</v>
      </c>
      <c r="D505">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39</v>
      </c>
      <c r="D506">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39</v>
      </c>
      <c r="D507">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40</v>
      </c>
      <c r="D508">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40</v>
      </c>
      <c r="D509">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39</v>
      </c>
      <c r="D510">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39</v>
      </c>
      <c r="D512">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39</v>
      </c>
      <c r="D51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40</v>
      </c>
      <c r="D514">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40</v>
      </c>
      <c r="D515">
        <v>60000</v>
      </c>
      <c r="E515">
        <v>4</v>
      </c>
      <c r="F515" t="s">
        <v>31</v>
      </c>
      <c r="G515" t="s">
        <v>28</v>
      </c>
      <c r="H515" t="s">
        <v>15</v>
      </c>
      <c r="I515">
        <v>2</v>
      </c>
      <c r="J515" t="s">
        <v>47</v>
      </c>
      <c r="K515" t="s">
        <v>32</v>
      </c>
      <c r="L515">
        <v>61</v>
      </c>
      <c r="M515" t="str">
        <f t="shared" ref="M515:M578" si="8">IF(L515&gt;54,"Old 55+",IF(L515&gt;=31,"Middle Age 31-54",IF(L515&lt;31,"Adolescent 0-30", "Invalid")))</f>
        <v>Old 55+</v>
      </c>
      <c r="N515" t="s">
        <v>15</v>
      </c>
    </row>
    <row r="516" spans="1:14" x14ac:dyDescent="0.3">
      <c r="A516">
        <v>19399</v>
      </c>
      <c r="B516" t="s">
        <v>37</v>
      </c>
      <c r="C516" t="s">
        <v>39</v>
      </c>
      <c r="D516">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40</v>
      </c>
      <c r="D517">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40</v>
      </c>
      <c r="D518">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39</v>
      </c>
      <c r="D519">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40</v>
      </c>
      <c r="D520">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39</v>
      </c>
      <c r="D521">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39</v>
      </c>
      <c r="D522">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39</v>
      </c>
      <c r="D523">
        <v>40000</v>
      </c>
      <c r="E523">
        <v>4</v>
      </c>
      <c r="F523" t="s">
        <v>27</v>
      </c>
      <c r="G523" t="s">
        <v>21</v>
      </c>
      <c r="H523" t="s">
        <v>15</v>
      </c>
      <c r="I523">
        <v>2</v>
      </c>
      <c r="J523" t="s">
        <v>47</v>
      </c>
      <c r="K523" t="s">
        <v>32</v>
      </c>
      <c r="L523">
        <v>62</v>
      </c>
      <c r="M523" t="str">
        <f t="shared" si="8"/>
        <v>Old 55+</v>
      </c>
      <c r="N523" t="s">
        <v>15</v>
      </c>
    </row>
    <row r="524" spans="1:14" x14ac:dyDescent="0.3">
      <c r="A524">
        <v>19413</v>
      </c>
      <c r="B524" t="s">
        <v>37</v>
      </c>
      <c r="C524" t="s">
        <v>39</v>
      </c>
      <c r="D524">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39</v>
      </c>
      <c r="D525">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40</v>
      </c>
      <c r="D526">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39</v>
      </c>
      <c r="D527">
        <v>60000</v>
      </c>
      <c r="E527">
        <v>5</v>
      </c>
      <c r="F527" t="s">
        <v>13</v>
      </c>
      <c r="G527" t="s">
        <v>28</v>
      </c>
      <c r="H527" t="s">
        <v>15</v>
      </c>
      <c r="I527">
        <v>3</v>
      </c>
      <c r="J527" t="s">
        <v>47</v>
      </c>
      <c r="K527" t="s">
        <v>32</v>
      </c>
      <c r="L527">
        <v>59</v>
      </c>
      <c r="M527" t="str">
        <f t="shared" si="8"/>
        <v>Old 55+</v>
      </c>
      <c r="N527" t="s">
        <v>15</v>
      </c>
    </row>
    <row r="528" spans="1:14" x14ac:dyDescent="0.3">
      <c r="A528">
        <v>15382</v>
      </c>
      <c r="B528" t="s">
        <v>36</v>
      </c>
      <c r="C528" t="s">
        <v>40</v>
      </c>
      <c r="D528">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39</v>
      </c>
      <c r="D529">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40</v>
      </c>
      <c r="D530">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v>60000</v>
      </c>
      <c r="E531">
        <v>2</v>
      </c>
      <c r="F531" t="s">
        <v>19</v>
      </c>
      <c r="G531" t="s">
        <v>21</v>
      </c>
      <c r="H531" t="s">
        <v>15</v>
      </c>
      <c r="I531">
        <v>1</v>
      </c>
      <c r="J531" t="s">
        <v>47</v>
      </c>
      <c r="K531" t="s">
        <v>32</v>
      </c>
      <c r="L531">
        <v>57</v>
      </c>
      <c r="M531" t="str">
        <f t="shared" si="8"/>
        <v>Old 55+</v>
      </c>
      <c r="N531" t="s">
        <v>15</v>
      </c>
    </row>
    <row r="532" spans="1:14" x14ac:dyDescent="0.3">
      <c r="A532">
        <v>25909</v>
      </c>
      <c r="B532" t="s">
        <v>36</v>
      </c>
      <c r="C532" t="s">
        <v>39</v>
      </c>
      <c r="D532">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40</v>
      </c>
      <c r="D534">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39</v>
      </c>
      <c r="D535">
        <v>60000</v>
      </c>
      <c r="E535">
        <v>3</v>
      </c>
      <c r="F535" t="s">
        <v>13</v>
      </c>
      <c r="G535" t="s">
        <v>28</v>
      </c>
      <c r="H535" t="s">
        <v>15</v>
      </c>
      <c r="I535">
        <v>2</v>
      </c>
      <c r="J535" t="s">
        <v>47</v>
      </c>
      <c r="K535" t="s">
        <v>32</v>
      </c>
      <c r="L535">
        <v>66</v>
      </c>
      <c r="M535" t="str">
        <f t="shared" si="8"/>
        <v>Old 55+</v>
      </c>
      <c r="N535" t="s">
        <v>18</v>
      </c>
    </row>
    <row r="536" spans="1:14" x14ac:dyDescent="0.3">
      <c r="A536">
        <v>24637</v>
      </c>
      <c r="B536" t="s">
        <v>36</v>
      </c>
      <c r="C536" t="s">
        <v>39</v>
      </c>
      <c r="D536">
        <v>40000</v>
      </c>
      <c r="E536">
        <v>4</v>
      </c>
      <c r="F536" t="s">
        <v>27</v>
      </c>
      <c r="G536" t="s">
        <v>21</v>
      </c>
      <c r="H536" t="s">
        <v>15</v>
      </c>
      <c r="I536">
        <v>2</v>
      </c>
      <c r="J536" t="s">
        <v>47</v>
      </c>
      <c r="K536" t="s">
        <v>32</v>
      </c>
      <c r="L536">
        <v>64</v>
      </c>
      <c r="M536" t="str">
        <f t="shared" si="8"/>
        <v>Old 55+</v>
      </c>
      <c r="N536" t="s">
        <v>18</v>
      </c>
    </row>
    <row r="537" spans="1:14" x14ac:dyDescent="0.3">
      <c r="A537">
        <v>23893</v>
      </c>
      <c r="B537" t="s">
        <v>36</v>
      </c>
      <c r="C537" t="s">
        <v>39</v>
      </c>
      <c r="D537">
        <v>50000</v>
      </c>
      <c r="E537">
        <v>3</v>
      </c>
      <c r="F537" t="s">
        <v>13</v>
      </c>
      <c r="G537" t="s">
        <v>14</v>
      </c>
      <c r="H537" t="s">
        <v>15</v>
      </c>
      <c r="I537">
        <v>3</v>
      </c>
      <c r="J537" t="s">
        <v>47</v>
      </c>
      <c r="K537" t="s">
        <v>32</v>
      </c>
      <c r="L537">
        <v>41</v>
      </c>
      <c r="M537" t="str">
        <f t="shared" si="8"/>
        <v>Middle Age 31-54</v>
      </c>
      <c r="N537" t="s">
        <v>18</v>
      </c>
    </row>
    <row r="538" spans="1:14" x14ac:dyDescent="0.3">
      <c r="A538">
        <v>13907</v>
      </c>
      <c r="B538" t="s">
        <v>37</v>
      </c>
      <c r="C538" t="s">
        <v>40</v>
      </c>
      <c r="D538">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40</v>
      </c>
      <c r="D539">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40</v>
      </c>
      <c r="D540">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40</v>
      </c>
      <c r="D541">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40</v>
      </c>
      <c r="D542">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39</v>
      </c>
      <c r="D54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39</v>
      </c>
      <c r="D544">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40</v>
      </c>
      <c r="D545">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39</v>
      </c>
      <c r="D546">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39</v>
      </c>
      <c r="D547">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39</v>
      </c>
      <c r="D549">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40</v>
      </c>
      <c r="D550">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40</v>
      </c>
      <c r="D551">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40</v>
      </c>
      <c r="D552">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40</v>
      </c>
      <c r="D553">
        <v>50000</v>
      </c>
      <c r="E553">
        <v>4</v>
      </c>
      <c r="F553" t="s">
        <v>13</v>
      </c>
      <c r="G553" t="s">
        <v>28</v>
      </c>
      <c r="H553" t="s">
        <v>15</v>
      </c>
      <c r="I553">
        <v>2</v>
      </c>
      <c r="J553" t="s">
        <v>47</v>
      </c>
      <c r="K553" t="s">
        <v>32</v>
      </c>
      <c r="L553">
        <v>63</v>
      </c>
      <c r="M553" t="str">
        <f t="shared" si="8"/>
        <v>Old 55+</v>
      </c>
      <c r="N553" t="s">
        <v>18</v>
      </c>
    </row>
    <row r="554" spans="1:14" x14ac:dyDescent="0.3">
      <c r="A554">
        <v>14417</v>
      </c>
      <c r="B554" t="s">
        <v>37</v>
      </c>
      <c r="C554" t="s">
        <v>39</v>
      </c>
      <c r="D554">
        <v>60000</v>
      </c>
      <c r="E554">
        <v>3</v>
      </c>
      <c r="F554" t="s">
        <v>27</v>
      </c>
      <c r="G554" t="s">
        <v>21</v>
      </c>
      <c r="H554" t="s">
        <v>15</v>
      </c>
      <c r="I554">
        <v>2</v>
      </c>
      <c r="J554" t="s">
        <v>47</v>
      </c>
      <c r="K554" t="s">
        <v>32</v>
      </c>
      <c r="L554">
        <v>54</v>
      </c>
      <c r="M554" t="str">
        <f t="shared" si="8"/>
        <v>Middle Age 31-54</v>
      </c>
      <c r="N554" t="s">
        <v>15</v>
      </c>
    </row>
    <row r="555" spans="1:14" x14ac:dyDescent="0.3">
      <c r="A555">
        <v>17533</v>
      </c>
      <c r="B555" t="s">
        <v>36</v>
      </c>
      <c r="C555" t="s">
        <v>39</v>
      </c>
      <c r="D555">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40</v>
      </c>
      <c r="D556">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39</v>
      </c>
      <c r="D557">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39</v>
      </c>
      <c r="D558">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40</v>
      </c>
      <c r="D559">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40</v>
      </c>
      <c r="D560">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40</v>
      </c>
      <c r="D561">
        <v>60000</v>
      </c>
      <c r="E561">
        <v>2</v>
      </c>
      <c r="F561" t="s">
        <v>13</v>
      </c>
      <c r="G561" t="s">
        <v>28</v>
      </c>
      <c r="H561" t="s">
        <v>15</v>
      </c>
      <c r="I561">
        <v>0</v>
      </c>
      <c r="J561" t="s">
        <v>47</v>
      </c>
      <c r="K561" t="s">
        <v>32</v>
      </c>
      <c r="L561">
        <v>58</v>
      </c>
      <c r="M561" t="str">
        <f t="shared" si="8"/>
        <v>Old 55+</v>
      </c>
      <c r="N561" t="s">
        <v>18</v>
      </c>
    </row>
    <row r="562" spans="1:14" x14ac:dyDescent="0.3">
      <c r="A562">
        <v>18577</v>
      </c>
      <c r="B562" t="s">
        <v>36</v>
      </c>
      <c r="C562" t="s">
        <v>40</v>
      </c>
      <c r="D562">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40</v>
      </c>
      <c r="D56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40</v>
      </c>
      <c r="D564">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40</v>
      </c>
      <c r="D565">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40</v>
      </c>
      <c r="D568">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39</v>
      </c>
      <c r="D569">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39</v>
      </c>
      <c r="D570">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39</v>
      </c>
      <c r="D571">
        <v>50000</v>
      </c>
      <c r="E571">
        <v>3</v>
      </c>
      <c r="F571" t="s">
        <v>31</v>
      </c>
      <c r="G571" t="s">
        <v>28</v>
      </c>
      <c r="H571" t="s">
        <v>15</v>
      </c>
      <c r="I571">
        <v>2</v>
      </c>
      <c r="J571" t="s">
        <v>47</v>
      </c>
      <c r="K571" t="s">
        <v>32</v>
      </c>
      <c r="L571">
        <v>69</v>
      </c>
      <c r="M571" t="str">
        <f t="shared" si="8"/>
        <v>Old 55+</v>
      </c>
      <c r="N571" t="s">
        <v>18</v>
      </c>
    </row>
    <row r="572" spans="1:14" x14ac:dyDescent="0.3">
      <c r="A572">
        <v>20370</v>
      </c>
      <c r="B572" t="s">
        <v>36</v>
      </c>
      <c r="C572" t="s">
        <v>39</v>
      </c>
      <c r="D572">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39</v>
      </c>
      <c r="D57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39</v>
      </c>
      <c r="D574">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40</v>
      </c>
      <c r="D576">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39</v>
      </c>
      <c r="D577">
        <v>60000</v>
      </c>
      <c r="E577">
        <v>2</v>
      </c>
      <c r="F577" t="s">
        <v>19</v>
      </c>
      <c r="G577" t="s">
        <v>21</v>
      </c>
      <c r="H577" t="s">
        <v>15</v>
      </c>
      <c r="I577">
        <v>1</v>
      </c>
      <c r="J577" t="s">
        <v>47</v>
      </c>
      <c r="K577" t="s">
        <v>32</v>
      </c>
      <c r="L577">
        <v>56</v>
      </c>
      <c r="M577" t="str">
        <f t="shared" si="8"/>
        <v>Old 55+</v>
      </c>
      <c r="N577" t="s">
        <v>18</v>
      </c>
    </row>
    <row r="578" spans="1:14" x14ac:dyDescent="0.3">
      <c r="A578">
        <v>18752</v>
      </c>
      <c r="B578" t="s">
        <v>37</v>
      </c>
      <c r="C578" t="s">
        <v>40</v>
      </c>
      <c r="D578">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39</v>
      </c>
      <c r="D579">
        <v>120000</v>
      </c>
      <c r="E579">
        <v>1</v>
      </c>
      <c r="F579" t="s">
        <v>13</v>
      </c>
      <c r="G579" t="s">
        <v>28</v>
      </c>
      <c r="H579" t="s">
        <v>15</v>
      </c>
      <c r="I579">
        <v>4</v>
      </c>
      <c r="J579" t="s">
        <v>16</v>
      </c>
      <c r="K579" t="s">
        <v>32</v>
      </c>
      <c r="L579">
        <v>38</v>
      </c>
      <c r="M579" t="str">
        <f t="shared" ref="M579:M642" si="9">IF(L579&gt;54,"Old 55+",IF(L579&gt;=31,"Middle Age 31-54",IF(L579&lt;31,"Adolescent 0-30", "Invalid")))</f>
        <v>Middle Age 31-54</v>
      </c>
      <c r="N579" t="s">
        <v>18</v>
      </c>
    </row>
    <row r="580" spans="1:14" x14ac:dyDescent="0.3">
      <c r="A580">
        <v>15313</v>
      </c>
      <c r="B580" t="s">
        <v>36</v>
      </c>
      <c r="C580" t="s">
        <v>39</v>
      </c>
      <c r="D580">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40</v>
      </c>
      <c r="D581">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40</v>
      </c>
      <c r="D582">
        <v>60000</v>
      </c>
      <c r="E582">
        <v>3</v>
      </c>
      <c r="F582" t="s">
        <v>31</v>
      </c>
      <c r="G582" t="s">
        <v>28</v>
      </c>
      <c r="H582" t="s">
        <v>15</v>
      </c>
      <c r="I582">
        <v>2</v>
      </c>
      <c r="J582" t="s">
        <v>47</v>
      </c>
      <c r="K582" t="s">
        <v>32</v>
      </c>
      <c r="L582">
        <v>69</v>
      </c>
      <c r="M582" t="str">
        <f t="shared" si="9"/>
        <v>Old 55+</v>
      </c>
      <c r="N582" t="s">
        <v>18</v>
      </c>
    </row>
    <row r="583" spans="1:14" x14ac:dyDescent="0.3">
      <c r="A583">
        <v>23089</v>
      </c>
      <c r="B583" t="s">
        <v>36</v>
      </c>
      <c r="C583" t="s">
        <v>39</v>
      </c>
      <c r="D58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39</v>
      </c>
      <c r="D585">
        <v>60000</v>
      </c>
      <c r="E585">
        <v>3</v>
      </c>
      <c r="F585" t="s">
        <v>13</v>
      </c>
      <c r="G585" t="s">
        <v>28</v>
      </c>
      <c r="H585" t="s">
        <v>15</v>
      </c>
      <c r="I585">
        <v>2</v>
      </c>
      <c r="J585" t="s">
        <v>47</v>
      </c>
      <c r="K585" t="s">
        <v>32</v>
      </c>
      <c r="L585">
        <v>66</v>
      </c>
      <c r="M585" t="str">
        <f t="shared" si="9"/>
        <v>Old 55+</v>
      </c>
      <c r="N585" t="s">
        <v>18</v>
      </c>
    </row>
    <row r="586" spans="1:14" x14ac:dyDescent="0.3">
      <c r="A586">
        <v>28667</v>
      </c>
      <c r="B586" t="s">
        <v>37</v>
      </c>
      <c r="C586" t="s">
        <v>39</v>
      </c>
      <c r="D586">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39</v>
      </c>
      <c r="D587">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39</v>
      </c>
      <c r="D588">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40</v>
      </c>
      <c r="D589">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40</v>
      </c>
      <c r="D590">
        <v>90000</v>
      </c>
      <c r="E590">
        <v>2</v>
      </c>
      <c r="F590" t="s">
        <v>27</v>
      </c>
      <c r="G590" t="s">
        <v>21</v>
      </c>
      <c r="H590" t="s">
        <v>15</v>
      </c>
      <c r="I590">
        <v>1</v>
      </c>
      <c r="J590" t="s">
        <v>47</v>
      </c>
      <c r="K590" t="s">
        <v>32</v>
      </c>
      <c r="L590">
        <v>51</v>
      </c>
      <c r="M590" t="str">
        <f t="shared" si="9"/>
        <v>Middle Age 31-54</v>
      </c>
      <c r="N590" t="s">
        <v>15</v>
      </c>
    </row>
    <row r="591" spans="1:14" x14ac:dyDescent="0.3">
      <c r="A591">
        <v>12100</v>
      </c>
      <c r="B591" t="s">
        <v>37</v>
      </c>
      <c r="C591" t="s">
        <v>39</v>
      </c>
      <c r="D591">
        <v>60000</v>
      </c>
      <c r="E591">
        <v>2</v>
      </c>
      <c r="F591" t="s">
        <v>13</v>
      </c>
      <c r="G591" t="s">
        <v>28</v>
      </c>
      <c r="H591" t="s">
        <v>15</v>
      </c>
      <c r="I591">
        <v>0</v>
      </c>
      <c r="J591" t="s">
        <v>47</v>
      </c>
      <c r="K591" t="s">
        <v>32</v>
      </c>
      <c r="L591">
        <v>57</v>
      </c>
      <c r="M591" t="str">
        <f t="shared" si="9"/>
        <v>Old 55+</v>
      </c>
      <c r="N591" t="s">
        <v>18</v>
      </c>
    </row>
    <row r="592" spans="1:14" x14ac:dyDescent="0.3">
      <c r="A592">
        <v>23158</v>
      </c>
      <c r="B592" t="s">
        <v>36</v>
      </c>
      <c r="C592" t="s">
        <v>40</v>
      </c>
      <c r="D592">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39</v>
      </c>
      <c r="D593">
        <v>40000</v>
      </c>
      <c r="E593">
        <v>4</v>
      </c>
      <c r="F593" t="s">
        <v>27</v>
      </c>
      <c r="G593" t="s">
        <v>21</v>
      </c>
      <c r="H593" t="s">
        <v>18</v>
      </c>
      <c r="I593">
        <v>2</v>
      </c>
      <c r="J593" t="s">
        <v>47</v>
      </c>
      <c r="K593" t="s">
        <v>32</v>
      </c>
      <c r="L593">
        <v>61</v>
      </c>
      <c r="M593" t="str">
        <f t="shared" si="9"/>
        <v>Old 55+</v>
      </c>
      <c r="N593" t="s">
        <v>15</v>
      </c>
    </row>
    <row r="594" spans="1:14" x14ac:dyDescent="0.3">
      <c r="A594">
        <v>18391</v>
      </c>
      <c r="B594" t="s">
        <v>37</v>
      </c>
      <c r="C594" t="s">
        <v>40</v>
      </c>
      <c r="D594">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40</v>
      </c>
      <c r="D595">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39</v>
      </c>
      <c r="D596">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40</v>
      </c>
      <c r="D597">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40</v>
      </c>
      <c r="D598">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39</v>
      </c>
      <c r="D599">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39</v>
      </c>
      <c r="D600">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40</v>
      </c>
      <c r="D601">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39</v>
      </c>
      <c r="D602">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39</v>
      </c>
      <c r="D60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39</v>
      </c>
      <c r="D604">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39</v>
      </c>
      <c r="D605">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39</v>
      </c>
      <c r="D606">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39</v>
      </c>
      <c r="D608">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40</v>
      </c>
      <c r="D609">
        <v>70000</v>
      </c>
      <c r="E609">
        <v>5</v>
      </c>
      <c r="F609" t="s">
        <v>31</v>
      </c>
      <c r="G609" t="s">
        <v>21</v>
      </c>
      <c r="H609" t="s">
        <v>15</v>
      </c>
      <c r="I609">
        <v>3</v>
      </c>
      <c r="J609" t="s">
        <v>47</v>
      </c>
      <c r="K609" t="s">
        <v>32</v>
      </c>
      <c r="L609">
        <v>46</v>
      </c>
      <c r="M609" t="str">
        <f t="shared" si="9"/>
        <v>Middle Age 31-54</v>
      </c>
      <c r="N609" t="s">
        <v>15</v>
      </c>
    </row>
    <row r="610" spans="1:14" x14ac:dyDescent="0.3">
      <c r="A610">
        <v>16890</v>
      </c>
      <c r="B610" t="s">
        <v>36</v>
      </c>
      <c r="C610" t="s">
        <v>39</v>
      </c>
      <c r="D610">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39</v>
      </c>
      <c r="D611">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39</v>
      </c>
      <c r="D612">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40</v>
      </c>
      <c r="D61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40</v>
      </c>
      <c r="D614">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40</v>
      </c>
      <c r="D616">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40</v>
      </c>
      <c r="D617">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40</v>
      </c>
      <c r="D618">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39</v>
      </c>
      <c r="D619">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40</v>
      </c>
      <c r="D620">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40</v>
      </c>
      <c r="D621">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40</v>
      </c>
      <c r="D622">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39</v>
      </c>
      <c r="D62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39</v>
      </c>
      <c r="D624">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40</v>
      </c>
      <c r="D625">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40</v>
      </c>
      <c r="D626">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40</v>
      </c>
      <c r="D628">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40</v>
      </c>
      <c r="D629">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39</v>
      </c>
      <c r="D630">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40</v>
      </c>
      <c r="D631">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39</v>
      </c>
      <c r="D632">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40</v>
      </c>
      <c r="D634">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40</v>
      </c>
      <c r="D635">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39</v>
      </c>
      <c r="D636">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40</v>
      </c>
      <c r="D637">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40</v>
      </c>
      <c r="D638">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39</v>
      </c>
      <c r="D639">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39</v>
      </c>
      <c r="D641">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40</v>
      </c>
      <c r="D642">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39</v>
      </c>
      <c r="D643">
        <v>50000</v>
      </c>
      <c r="E643">
        <v>4</v>
      </c>
      <c r="F643" t="s">
        <v>13</v>
      </c>
      <c r="G643" t="s">
        <v>28</v>
      </c>
      <c r="H643" t="s">
        <v>15</v>
      </c>
      <c r="I643">
        <v>2</v>
      </c>
      <c r="J643" t="s">
        <v>47</v>
      </c>
      <c r="K643" t="s">
        <v>32</v>
      </c>
      <c r="L643">
        <v>64</v>
      </c>
      <c r="M643" t="str">
        <f t="shared" ref="M643:M706" si="10">IF(L643&gt;54,"Old 55+",IF(L643&gt;=31,"Middle Age 31-54",IF(L643&lt;31,"Adolescent 0-30", "Invalid")))</f>
        <v>Old 55+</v>
      </c>
      <c r="N643" t="s">
        <v>18</v>
      </c>
    </row>
    <row r="644" spans="1:14" x14ac:dyDescent="0.3">
      <c r="A644">
        <v>21741</v>
      </c>
      <c r="B644" t="s">
        <v>36</v>
      </c>
      <c r="C644" t="s">
        <v>40</v>
      </c>
      <c r="D644">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40</v>
      </c>
      <c r="D645">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40</v>
      </c>
      <c r="D646">
        <v>60000</v>
      </c>
      <c r="E646">
        <v>5</v>
      </c>
      <c r="F646" t="s">
        <v>13</v>
      </c>
      <c r="G646" t="s">
        <v>14</v>
      </c>
      <c r="H646" t="s">
        <v>15</v>
      </c>
      <c r="I646">
        <v>3</v>
      </c>
      <c r="J646" t="s">
        <v>47</v>
      </c>
      <c r="K646" t="s">
        <v>32</v>
      </c>
      <c r="L646">
        <v>41</v>
      </c>
      <c r="M646" t="str">
        <f t="shared" si="10"/>
        <v>Middle Age 31-54</v>
      </c>
      <c r="N646" t="s">
        <v>18</v>
      </c>
    </row>
    <row r="647" spans="1:14" x14ac:dyDescent="0.3">
      <c r="A647">
        <v>16217</v>
      </c>
      <c r="B647" t="s">
        <v>37</v>
      </c>
      <c r="C647" t="s">
        <v>40</v>
      </c>
      <c r="D647">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40</v>
      </c>
      <c r="D648">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39</v>
      </c>
      <c r="D649">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40</v>
      </c>
      <c r="D650">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40</v>
      </c>
      <c r="D651">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40</v>
      </c>
      <c r="D652">
        <v>70000</v>
      </c>
      <c r="E652">
        <v>5</v>
      </c>
      <c r="F652" t="s">
        <v>31</v>
      </c>
      <c r="G652" t="s">
        <v>28</v>
      </c>
      <c r="H652" t="s">
        <v>15</v>
      </c>
      <c r="I652">
        <v>2</v>
      </c>
      <c r="J652" t="s">
        <v>47</v>
      </c>
      <c r="K652" t="s">
        <v>32</v>
      </c>
      <c r="L652">
        <v>67</v>
      </c>
      <c r="M652" t="str">
        <f t="shared" si="10"/>
        <v>Old 55+</v>
      </c>
      <c r="N652" t="s">
        <v>15</v>
      </c>
    </row>
    <row r="653" spans="1:14" x14ac:dyDescent="0.3">
      <c r="A653">
        <v>14284</v>
      </c>
      <c r="B653" t="s">
        <v>37</v>
      </c>
      <c r="C653" t="s">
        <v>39</v>
      </c>
      <c r="D65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39</v>
      </c>
      <c r="D654">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39</v>
      </c>
      <c r="D655">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39</v>
      </c>
      <c r="D656">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40</v>
      </c>
      <c r="D657">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39</v>
      </c>
      <c r="D658">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39</v>
      </c>
      <c r="D659">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39</v>
      </c>
      <c r="D660">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40</v>
      </c>
      <c r="D661">
        <v>60000</v>
      </c>
      <c r="E661">
        <v>4</v>
      </c>
      <c r="F661" t="s">
        <v>13</v>
      </c>
      <c r="G661" t="s">
        <v>28</v>
      </c>
      <c r="H661" t="s">
        <v>15</v>
      </c>
      <c r="I661">
        <v>2</v>
      </c>
      <c r="J661" t="s">
        <v>47</v>
      </c>
      <c r="K661" t="s">
        <v>32</v>
      </c>
      <c r="L661">
        <v>63</v>
      </c>
      <c r="M661" t="str">
        <f t="shared" si="10"/>
        <v>Old 55+</v>
      </c>
      <c r="N661" t="s">
        <v>18</v>
      </c>
    </row>
    <row r="662" spans="1:14" x14ac:dyDescent="0.3">
      <c r="A662">
        <v>21599</v>
      </c>
      <c r="B662" t="s">
        <v>36</v>
      </c>
      <c r="C662" t="s">
        <v>40</v>
      </c>
      <c r="D662">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39</v>
      </c>
      <c r="D66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40</v>
      </c>
      <c r="D664">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40</v>
      </c>
      <c r="D665">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40</v>
      </c>
      <c r="D666">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39</v>
      </c>
      <c r="D667">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40</v>
      </c>
      <c r="D668">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40</v>
      </c>
      <c r="D669">
        <v>40000</v>
      </c>
      <c r="E669">
        <v>5</v>
      </c>
      <c r="F669" t="s">
        <v>27</v>
      </c>
      <c r="G669" t="s">
        <v>21</v>
      </c>
      <c r="H669" t="s">
        <v>18</v>
      </c>
      <c r="I669">
        <v>2</v>
      </c>
      <c r="J669" t="s">
        <v>47</v>
      </c>
      <c r="K669" t="s">
        <v>32</v>
      </c>
      <c r="L669">
        <v>61</v>
      </c>
      <c r="M669" t="str">
        <f t="shared" si="10"/>
        <v>Old 55+</v>
      </c>
      <c r="N669" t="s">
        <v>18</v>
      </c>
    </row>
    <row r="670" spans="1:14" x14ac:dyDescent="0.3">
      <c r="A670">
        <v>14592</v>
      </c>
      <c r="B670" t="s">
        <v>36</v>
      </c>
      <c r="C670" t="s">
        <v>40</v>
      </c>
      <c r="D670">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40</v>
      </c>
      <c r="D671">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39</v>
      </c>
      <c r="D672">
        <v>70000</v>
      </c>
      <c r="E672">
        <v>2</v>
      </c>
      <c r="F672" t="s">
        <v>19</v>
      </c>
      <c r="G672" t="s">
        <v>21</v>
      </c>
      <c r="H672" t="s">
        <v>15</v>
      </c>
      <c r="I672">
        <v>1</v>
      </c>
      <c r="J672" t="s">
        <v>47</v>
      </c>
      <c r="K672" t="s">
        <v>32</v>
      </c>
      <c r="L672">
        <v>59</v>
      </c>
      <c r="M672" t="str">
        <f t="shared" si="10"/>
        <v>Old 55+</v>
      </c>
      <c r="N672" t="s">
        <v>18</v>
      </c>
    </row>
    <row r="673" spans="1:14" x14ac:dyDescent="0.3">
      <c r="A673">
        <v>22252</v>
      </c>
      <c r="B673" t="s">
        <v>37</v>
      </c>
      <c r="C673" t="s">
        <v>40</v>
      </c>
      <c r="D67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40</v>
      </c>
      <c r="D674">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40</v>
      </c>
      <c r="D675">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40</v>
      </c>
      <c r="D676">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39</v>
      </c>
      <c r="D677">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39</v>
      </c>
      <c r="D678">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39</v>
      </c>
      <c r="D679">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39</v>
      </c>
      <c r="D680">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39</v>
      </c>
      <c r="D681">
        <v>60000</v>
      </c>
      <c r="E681">
        <v>4</v>
      </c>
      <c r="F681" t="s">
        <v>13</v>
      </c>
      <c r="G681" t="s">
        <v>28</v>
      </c>
      <c r="H681" t="s">
        <v>15</v>
      </c>
      <c r="I681">
        <v>2</v>
      </c>
      <c r="J681" t="s">
        <v>47</v>
      </c>
      <c r="K681" t="s">
        <v>32</v>
      </c>
      <c r="L681">
        <v>60</v>
      </c>
      <c r="M681" t="str">
        <f t="shared" si="10"/>
        <v>Old 55+</v>
      </c>
      <c r="N681" t="s">
        <v>18</v>
      </c>
    </row>
    <row r="682" spans="1:14" x14ac:dyDescent="0.3">
      <c r="A682">
        <v>11165</v>
      </c>
      <c r="B682" t="s">
        <v>36</v>
      </c>
      <c r="C682" t="s">
        <v>40</v>
      </c>
      <c r="D682">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40</v>
      </c>
      <c r="D68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39</v>
      </c>
      <c r="D684">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40</v>
      </c>
      <c r="D685">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40</v>
      </c>
      <c r="D686">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40</v>
      </c>
      <c r="D687">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40</v>
      </c>
      <c r="D688">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39</v>
      </c>
      <c r="D689">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40</v>
      </c>
      <c r="D692">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39</v>
      </c>
      <c r="D69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39</v>
      </c>
      <c r="D694">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40</v>
      </c>
      <c r="D695">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40</v>
      </c>
      <c r="D696">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39</v>
      </c>
      <c r="D697">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39</v>
      </c>
      <c r="D698">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40</v>
      </c>
      <c r="D699">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39</v>
      </c>
      <c r="D701">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40</v>
      </c>
      <c r="D702">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39</v>
      </c>
      <c r="D70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40</v>
      </c>
      <c r="D705">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40</v>
      </c>
      <c r="D706">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40</v>
      </c>
      <c r="D707">
        <v>70000</v>
      </c>
      <c r="E707">
        <v>4</v>
      </c>
      <c r="F707" t="s">
        <v>13</v>
      </c>
      <c r="G707" t="s">
        <v>28</v>
      </c>
      <c r="H707" t="s">
        <v>15</v>
      </c>
      <c r="I707">
        <v>1</v>
      </c>
      <c r="J707" t="s">
        <v>47</v>
      </c>
      <c r="K707" t="s">
        <v>32</v>
      </c>
      <c r="L707">
        <v>59</v>
      </c>
      <c r="M707" t="str">
        <f t="shared" ref="M707:M770" si="11">IF(L707&gt;54,"Old 55+",IF(L707&gt;=31,"Middle Age 31-54",IF(L707&lt;31,"Adolescent 0-30", "Invalid")))</f>
        <v>Old 55+</v>
      </c>
      <c r="N707" t="s">
        <v>18</v>
      </c>
    </row>
    <row r="708" spans="1:14" x14ac:dyDescent="0.3">
      <c r="A708">
        <v>20296</v>
      </c>
      <c r="B708" t="s">
        <v>37</v>
      </c>
      <c r="C708" t="s">
        <v>40</v>
      </c>
      <c r="D708">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40</v>
      </c>
      <c r="D709">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39</v>
      </c>
      <c r="D710">
        <v>70000</v>
      </c>
      <c r="E710">
        <v>5</v>
      </c>
      <c r="F710" t="s">
        <v>13</v>
      </c>
      <c r="G710" t="s">
        <v>28</v>
      </c>
      <c r="H710" t="s">
        <v>15</v>
      </c>
      <c r="I710">
        <v>4</v>
      </c>
      <c r="J710" t="s">
        <v>47</v>
      </c>
      <c r="K710" t="s">
        <v>32</v>
      </c>
      <c r="L710">
        <v>60</v>
      </c>
      <c r="M710" t="str">
        <f t="shared" si="11"/>
        <v>Old 55+</v>
      </c>
      <c r="N710" t="s">
        <v>18</v>
      </c>
    </row>
    <row r="711" spans="1:14" x14ac:dyDescent="0.3">
      <c r="A711">
        <v>23712</v>
      </c>
      <c r="B711" t="s">
        <v>37</v>
      </c>
      <c r="C711" t="s">
        <v>40</v>
      </c>
      <c r="D711">
        <v>70000</v>
      </c>
      <c r="E711">
        <v>2</v>
      </c>
      <c r="F711" t="s">
        <v>13</v>
      </c>
      <c r="G711" t="s">
        <v>28</v>
      </c>
      <c r="H711" t="s">
        <v>15</v>
      </c>
      <c r="I711">
        <v>1</v>
      </c>
      <c r="J711" t="s">
        <v>47</v>
      </c>
      <c r="K711" t="s">
        <v>32</v>
      </c>
      <c r="L711">
        <v>59</v>
      </c>
      <c r="M711" t="str">
        <f t="shared" si="11"/>
        <v>Old 55+</v>
      </c>
      <c r="N711" t="s">
        <v>18</v>
      </c>
    </row>
    <row r="712" spans="1:14" x14ac:dyDescent="0.3">
      <c r="A712">
        <v>23358</v>
      </c>
      <c r="B712" t="s">
        <v>36</v>
      </c>
      <c r="C712" t="s">
        <v>39</v>
      </c>
      <c r="D712">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40</v>
      </c>
      <c r="D713">
        <v>70000</v>
      </c>
      <c r="E713">
        <v>2</v>
      </c>
      <c r="F713" t="s">
        <v>19</v>
      </c>
      <c r="G713" t="s">
        <v>21</v>
      </c>
      <c r="H713" t="s">
        <v>15</v>
      </c>
      <c r="I713">
        <v>1</v>
      </c>
      <c r="J713" t="s">
        <v>47</v>
      </c>
      <c r="K713" t="s">
        <v>32</v>
      </c>
      <c r="L713">
        <v>58</v>
      </c>
      <c r="M713" t="str">
        <f t="shared" si="11"/>
        <v>Old 55+</v>
      </c>
      <c r="N713" t="s">
        <v>18</v>
      </c>
    </row>
    <row r="714" spans="1:14" x14ac:dyDescent="0.3">
      <c r="A714">
        <v>28026</v>
      </c>
      <c r="B714" t="s">
        <v>36</v>
      </c>
      <c r="C714" t="s">
        <v>40</v>
      </c>
      <c r="D714">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40</v>
      </c>
      <c r="D715">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39</v>
      </c>
      <c r="D716">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40</v>
      </c>
      <c r="D717">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40</v>
      </c>
      <c r="D718">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39</v>
      </c>
      <c r="D719">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39</v>
      </c>
      <c r="D720">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40</v>
      </c>
      <c r="D721">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40</v>
      </c>
      <c r="D722">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39</v>
      </c>
      <c r="D72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40</v>
      </c>
      <c r="D724">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40</v>
      </c>
      <c r="D725">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39</v>
      </c>
      <c r="D726">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39</v>
      </c>
      <c r="D727">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39</v>
      </c>
      <c r="D728">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39</v>
      </c>
      <c r="D729">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39</v>
      </c>
      <c r="D730">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40</v>
      </c>
      <c r="D731">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40</v>
      </c>
      <c r="D732">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39</v>
      </c>
      <c r="D73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40</v>
      </c>
      <c r="D734">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39</v>
      </c>
      <c r="D735">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40</v>
      </c>
      <c r="D736">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40</v>
      </c>
      <c r="D737">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39</v>
      </c>
      <c r="D739">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40</v>
      </c>
      <c r="D740">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40</v>
      </c>
      <c r="D741">
        <v>60000</v>
      </c>
      <c r="E741">
        <v>2</v>
      </c>
      <c r="F741" t="s">
        <v>19</v>
      </c>
      <c r="G741" t="s">
        <v>21</v>
      </c>
      <c r="H741" t="s">
        <v>15</v>
      </c>
      <c r="I741">
        <v>1</v>
      </c>
      <c r="J741" t="s">
        <v>47</v>
      </c>
      <c r="K741" t="s">
        <v>32</v>
      </c>
      <c r="L741">
        <v>55</v>
      </c>
      <c r="M741" t="str">
        <f t="shared" si="11"/>
        <v>Old 55+</v>
      </c>
      <c r="N741" t="s">
        <v>18</v>
      </c>
    </row>
    <row r="742" spans="1:14" x14ac:dyDescent="0.3">
      <c r="A742">
        <v>17657</v>
      </c>
      <c r="B742" t="s">
        <v>36</v>
      </c>
      <c r="C742" t="s">
        <v>39</v>
      </c>
      <c r="D742">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40</v>
      </c>
      <c r="D74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39</v>
      </c>
      <c r="D744">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40</v>
      </c>
      <c r="D746">
        <v>70000</v>
      </c>
      <c r="E746">
        <v>4</v>
      </c>
      <c r="F746" t="s">
        <v>19</v>
      </c>
      <c r="G746" t="s">
        <v>21</v>
      </c>
      <c r="H746" t="s">
        <v>15</v>
      </c>
      <c r="I746">
        <v>1</v>
      </c>
      <c r="J746" t="s">
        <v>47</v>
      </c>
      <c r="K746" t="s">
        <v>32</v>
      </c>
      <c r="L746">
        <v>56</v>
      </c>
      <c r="M746" t="str">
        <f t="shared" si="11"/>
        <v>Old 55+</v>
      </c>
      <c r="N746" t="s">
        <v>18</v>
      </c>
    </row>
    <row r="747" spans="1:14" x14ac:dyDescent="0.3">
      <c r="A747">
        <v>12452</v>
      </c>
      <c r="B747" t="s">
        <v>36</v>
      </c>
      <c r="C747" t="s">
        <v>39</v>
      </c>
      <c r="D747">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40</v>
      </c>
      <c r="D748">
        <v>60000</v>
      </c>
      <c r="E748">
        <v>2</v>
      </c>
      <c r="F748" t="s">
        <v>13</v>
      </c>
      <c r="G748" t="s">
        <v>28</v>
      </c>
      <c r="H748" t="s">
        <v>15</v>
      </c>
      <c r="I748">
        <v>0</v>
      </c>
      <c r="J748" t="s">
        <v>47</v>
      </c>
      <c r="K748" t="s">
        <v>32</v>
      </c>
      <c r="L748">
        <v>56</v>
      </c>
      <c r="M748" t="str">
        <f t="shared" si="11"/>
        <v>Old 55+</v>
      </c>
      <c r="N748" t="s">
        <v>18</v>
      </c>
    </row>
    <row r="749" spans="1:14" x14ac:dyDescent="0.3">
      <c r="A749">
        <v>12957</v>
      </c>
      <c r="B749" t="s">
        <v>37</v>
      </c>
      <c r="C749" t="s">
        <v>40</v>
      </c>
      <c r="D749">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39</v>
      </c>
      <c r="D750">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40</v>
      </c>
      <c r="D751">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39</v>
      </c>
      <c r="D752">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39</v>
      </c>
      <c r="D75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39</v>
      </c>
      <c r="D754">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40</v>
      </c>
      <c r="D755">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40</v>
      </c>
      <c r="D756">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39</v>
      </c>
      <c r="D757">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39</v>
      </c>
      <c r="D758">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39</v>
      </c>
      <c r="D759">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40</v>
      </c>
      <c r="D760">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40</v>
      </c>
      <c r="D761">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39</v>
      </c>
      <c r="D762">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40</v>
      </c>
      <c r="D763">
        <v>60000</v>
      </c>
      <c r="E763">
        <v>5</v>
      </c>
      <c r="F763" t="s">
        <v>13</v>
      </c>
      <c r="G763" t="s">
        <v>28</v>
      </c>
      <c r="H763" t="s">
        <v>15</v>
      </c>
      <c r="I763">
        <v>3</v>
      </c>
      <c r="J763" t="s">
        <v>47</v>
      </c>
      <c r="K763" t="s">
        <v>32</v>
      </c>
      <c r="L763">
        <v>59</v>
      </c>
      <c r="M763" t="str">
        <f t="shared" si="11"/>
        <v>Old 55+</v>
      </c>
      <c r="N763" t="s">
        <v>18</v>
      </c>
    </row>
    <row r="764" spans="1:14" x14ac:dyDescent="0.3">
      <c r="A764">
        <v>20657</v>
      </c>
      <c r="B764" t="s">
        <v>37</v>
      </c>
      <c r="C764" t="s">
        <v>39</v>
      </c>
      <c r="D764">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39</v>
      </c>
      <c r="D765">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40</v>
      </c>
      <c r="D766">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40</v>
      </c>
      <c r="D767">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39</v>
      </c>
      <c r="D768">
        <v>50000</v>
      </c>
      <c r="E768">
        <v>4</v>
      </c>
      <c r="F768" t="s">
        <v>13</v>
      </c>
      <c r="G768" t="s">
        <v>14</v>
      </c>
      <c r="H768" t="s">
        <v>15</v>
      </c>
      <c r="I768">
        <v>3</v>
      </c>
      <c r="J768" t="s">
        <v>47</v>
      </c>
      <c r="K768" t="s">
        <v>32</v>
      </c>
      <c r="L768">
        <v>42</v>
      </c>
      <c r="M768" t="str">
        <f t="shared" si="11"/>
        <v>Middle Age 31-54</v>
      </c>
      <c r="N768" t="s">
        <v>18</v>
      </c>
    </row>
    <row r="769" spans="1:14" x14ac:dyDescent="0.3">
      <c r="A769">
        <v>24979</v>
      </c>
      <c r="B769" t="s">
        <v>36</v>
      </c>
      <c r="C769" t="s">
        <v>40</v>
      </c>
      <c r="D769">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40</v>
      </c>
      <c r="D770">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40</v>
      </c>
      <c r="D771">
        <v>100000</v>
      </c>
      <c r="E771">
        <v>4</v>
      </c>
      <c r="F771" t="s">
        <v>13</v>
      </c>
      <c r="G771" t="s">
        <v>28</v>
      </c>
      <c r="H771" t="s">
        <v>15</v>
      </c>
      <c r="I771">
        <v>4</v>
      </c>
      <c r="J771" t="s">
        <v>16</v>
      </c>
      <c r="K771" t="s">
        <v>32</v>
      </c>
      <c r="L771">
        <v>40</v>
      </c>
      <c r="M771" t="str">
        <f t="shared" ref="M771:M834" si="12">IF(L771&gt;54,"Old 55+",IF(L771&gt;=31,"Middle Age 31-54",IF(L771&lt;31,"Adolescent 0-30", "Invalid")))</f>
        <v>Middle Age 31-54</v>
      </c>
      <c r="N771" t="s">
        <v>18</v>
      </c>
    </row>
    <row r="772" spans="1:14" x14ac:dyDescent="0.3">
      <c r="A772">
        <v>17699</v>
      </c>
      <c r="B772" t="s">
        <v>36</v>
      </c>
      <c r="C772" t="s">
        <v>39</v>
      </c>
      <c r="D772">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39</v>
      </c>
      <c r="D77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39</v>
      </c>
      <c r="D774">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40</v>
      </c>
      <c r="D775">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40</v>
      </c>
      <c r="D776">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39</v>
      </c>
      <c r="D777">
        <v>70000</v>
      </c>
      <c r="E777">
        <v>2</v>
      </c>
      <c r="F777" t="s">
        <v>29</v>
      </c>
      <c r="G777" t="s">
        <v>14</v>
      </c>
      <c r="H777" t="s">
        <v>15</v>
      </c>
      <c r="I777">
        <v>2</v>
      </c>
      <c r="J777" t="s">
        <v>47</v>
      </c>
      <c r="K777" t="s">
        <v>32</v>
      </c>
      <c r="L777">
        <v>54</v>
      </c>
      <c r="M777" t="str">
        <f t="shared" si="12"/>
        <v>Middle Age 31-54</v>
      </c>
      <c r="N777" t="s">
        <v>18</v>
      </c>
    </row>
    <row r="778" spans="1:14" x14ac:dyDescent="0.3">
      <c r="A778">
        <v>26490</v>
      </c>
      <c r="B778" t="s">
        <v>37</v>
      </c>
      <c r="C778" t="s">
        <v>39</v>
      </c>
      <c r="D778">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39</v>
      </c>
      <c r="D779">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39</v>
      </c>
      <c r="D781">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40</v>
      </c>
      <c r="D782">
        <v>60000</v>
      </c>
      <c r="E782">
        <v>2</v>
      </c>
      <c r="F782" t="s">
        <v>19</v>
      </c>
      <c r="G782" t="s">
        <v>21</v>
      </c>
      <c r="H782" t="s">
        <v>15</v>
      </c>
      <c r="I782">
        <v>1</v>
      </c>
      <c r="J782" t="s">
        <v>47</v>
      </c>
      <c r="K782" t="s">
        <v>32</v>
      </c>
      <c r="L782">
        <v>55</v>
      </c>
      <c r="M782" t="str">
        <f t="shared" si="12"/>
        <v>Old 55+</v>
      </c>
      <c r="N782" t="s">
        <v>18</v>
      </c>
    </row>
    <row r="783" spans="1:14" x14ac:dyDescent="0.3">
      <c r="A783">
        <v>19660</v>
      </c>
      <c r="B783" t="s">
        <v>36</v>
      </c>
      <c r="C783" t="s">
        <v>39</v>
      </c>
      <c r="D78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39</v>
      </c>
      <c r="D784">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39</v>
      </c>
      <c r="D785">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40</v>
      </c>
      <c r="D786">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40</v>
      </c>
      <c r="D787">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40</v>
      </c>
      <c r="D788">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40</v>
      </c>
      <c r="D789">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40</v>
      </c>
      <c r="D790">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39</v>
      </c>
      <c r="D791">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40</v>
      </c>
      <c r="D792">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39</v>
      </c>
      <c r="D79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39</v>
      </c>
      <c r="D795">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39</v>
      </c>
      <c r="D796">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39</v>
      </c>
      <c r="D797">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39</v>
      </c>
      <c r="D798">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39</v>
      </c>
      <c r="D799">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40</v>
      </c>
      <c r="D800">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40</v>
      </c>
      <c r="D801">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39</v>
      </c>
      <c r="D802">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39</v>
      </c>
      <c r="D80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39</v>
      </c>
      <c r="D804">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40</v>
      </c>
      <c r="D807">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40</v>
      </c>
      <c r="D808">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40</v>
      </c>
      <c r="D809">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39</v>
      </c>
      <c r="D810">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40</v>
      </c>
      <c r="D811">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40</v>
      </c>
      <c r="D812">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39</v>
      </c>
      <c r="D81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40</v>
      </c>
      <c r="D814">
        <v>70000</v>
      </c>
      <c r="E814">
        <v>4</v>
      </c>
      <c r="F814" t="s">
        <v>13</v>
      </c>
      <c r="G814" t="s">
        <v>28</v>
      </c>
      <c r="H814" t="s">
        <v>15</v>
      </c>
      <c r="I814">
        <v>2</v>
      </c>
      <c r="J814" t="s">
        <v>47</v>
      </c>
      <c r="K814" t="s">
        <v>32</v>
      </c>
      <c r="L814">
        <v>61</v>
      </c>
      <c r="M814" t="str">
        <f t="shared" si="12"/>
        <v>Old 55+</v>
      </c>
      <c r="N814" t="s">
        <v>18</v>
      </c>
    </row>
    <row r="815" spans="1:14" x14ac:dyDescent="0.3">
      <c r="A815">
        <v>25899</v>
      </c>
      <c r="B815" t="s">
        <v>36</v>
      </c>
      <c r="C815" t="s">
        <v>40</v>
      </c>
      <c r="D815">
        <v>70000</v>
      </c>
      <c r="E815">
        <v>2</v>
      </c>
      <c r="F815" t="s">
        <v>27</v>
      </c>
      <c r="G815" t="s">
        <v>21</v>
      </c>
      <c r="H815" t="s">
        <v>15</v>
      </c>
      <c r="I815">
        <v>2</v>
      </c>
      <c r="J815" t="s">
        <v>47</v>
      </c>
      <c r="K815" t="s">
        <v>32</v>
      </c>
      <c r="L815">
        <v>53</v>
      </c>
      <c r="M815" t="str">
        <f t="shared" si="12"/>
        <v>Middle Age 31-54</v>
      </c>
      <c r="N815" t="s">
        <v>18</v>
      </c>
    </row>
    <row r="816" spans="1:14" x14ac:dyDescent="0.3">
      <c r="A816">
        <v>13351</v>
      </c>
      <c r="B816" t="s">
        <v>37</v>
      </c>
      <c r="C816" t="s">
        <v>40</v>
      </c>
      <c r="D816">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39</v>
      </c>
      <c r="D817">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40</v>
      </c>
      <c r="D818">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40</v>
      </c>
      <c r="D819">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39</v>
      </c>
      <c r="D820">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40</v>
      </c>
      <c r="D821">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39</v>
      </c>
      <c r="D82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39</v>
      </c>
      <c r="D824">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40</v>
      </c>
      <c r="D825">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39</v>
      </c>
      <c r="D826">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39</v>
      </c>
      <c r="D827">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39</v>
      </c>
      <c r="D828">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40</v>
      </c>
      <c r="D829">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40</v>
      </c>
      <c r="D830">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39</v>
      </c>
      <c r="D832">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40</v>
      </c>
      <c r="D83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40</v>
      </c>
      <c r="D834">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40</v>
      </c>
      <c r="D835">
        <v>70000</v>
      </c>
      <c r="E835">
        <v>0</v>
      </c>
      <c r="F835" t="s">
        <v>13</v>
      </c>
      <c r="G835" t="s">
        <v>21</v>
      </c>
      <c r="H835" t="s">
        <v>18</v>
      </c>
      <c r="I835">
        <v>1</v>
      </c>
      <c r="J835" t="s">
        <v>16</v>
      </c>
      <c r="K835" t="s">
        <v>32</v>
      </c>
      <c r="L835">
        <v>37</v>
      </c>
      <c r="M835" t="str">
        <f t="shared" ref="M835:M898" si="13">IF(L835&gt;54,"Old 55+",IF(L835&gt;=31,"Middle Age 31-54",IF(L835&lt;31,"Adolescent 0-30", "Invalid")))</f>
        <v>Middle Age 31-54</v>
      </c>
      <c r="N835" t="s">
        <v>15</v>
      </c>
    </row>
    <row r="836" spans="1:14" x14ac:dyDescent="0.3">
      <c r="A836">
        <v>19889</v>
      </c>
      <c r="B836" t="s">
        <v>37</v>
      </c>
      <c r="C836" t="s">
        <v>40</v>
      </c>
      <c r="D836">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40</v>
      </c>
      <c r="D837">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40</v>
      </c>
      <c r="D838">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40</v>
      </c>
      <c r="D840">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40</v>
      </c>
      <c r="D841">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39</v>
      </c>
      <c r="D842">
        <v>70000</v>
      </c>
      <c r="E842">
        <v>4</v>
      </c>
      <c r="F842" t="s">
        <v>19</v>
      </c>
      <c r="G842" t="s">
        <v>21</v>
      </c>
      <c r="H842" t="s">
        <v>15</v>
      </c>
      <c r="I842">
        <v>2</v>
      </c>
      <c r="J842" t="s">
        <v>47</v>
      </c>
      <c r="K842" t="s">
        <v>32</v>
      </c>
      <c r="L842">
        <v>53</v>
      </c>
      <c r="M842" t="str">
        <f t="shared" si="13"/>
        <v>Middle Age 31-54</v>
      </c>
      <c r="N842" t="s">
        <v>18</v>
      </c>
    </row>
    <row r="843" spans="1:14" x14ac:dyDescent="0.3">
      <c r="A843">
        <v>12056</v>
      </c>
      <c r="B843" t="s">
        <v>36</v>
      </c>
      <c r="C843" t="s">
        <v>39</v>
      </c>
      <c r="D84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40</v>
      </c>
      <c r="D844">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39</v>
      </c>
      <c r="D845">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40</v>
      </c>
      <c r="D846">
        <v>40000</v>
      </c>
      <c r="E846">
        <v>5</v>
      </c>
      <c r="F846" t="s">
        <v>27</v>
      </c>
      <c r="G846" t="s">
        <v>21</v>
      </c>
      <c r="H846" t="s">
        <v>15</v>
      </c>
      <c r="I846">
        <v>2</v>
      </c>
      <c r="J846" t="s">
        <v>47</v>
      </c>
      <c r="K846" t="s">
        <v>32</v>
      </c>
      <c r="L846">
        <v>60</v>
      </c>
      <c r="M846" t="str">
        <f t="shared" si="13"/>
        <v>Old 55+</v>
      </c>
      <c r="N846" t="s">
        <v>18</v>
      </c>
    </row>
    <row r="847" spans="1:14" x14ac:dyDescent="0.3">
      <c r="A847">
        <v>25343</v>
      </c>
      <c r="B847" t="s">
        <v>37</v>
      </c>
      <c r="C847" t="s">
        <v>40</v>
      </c>
      <c r="D847">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40</v>
      </c>
      <c r="D848">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40</v>
      </c>
      <c r="D849">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40</v>
      </c>
      <c r="D851">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40</v>
      </c>
      <c r="D852">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39</v>
      </c>
      <c r="D85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39</v>
      </c>
      <c r="D854">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39</v>
      </c>
      <c r="D855">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40</v>
      </c>
      <c r="D856">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40</v>
      </c>
      <c r="D857">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39</v>
      </c>
      <c r="D858">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40</v>
      </c>
      <c r="D859">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39</v>
      </c>
      <c r="D860">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39</v>
      </c>
      <c r="D861">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39</v>
      </c>
      <c r="D862">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40</v>
      </c>
      <c r="D86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39</v>
      </c>
      <c r="D864">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39</v>
      </c>
      <c r="D865">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39</v>
      </c>
      <c r="D866">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40</v>
      </c>
      <c r="D867">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39</v>
      </c>
      <c r="D868">
        <v>60000</v>
      </c>
      <c r="E868">
        <v>2</v>
      </c>
      <c r="F868" t="s">
        <v>27</v>
      </c>
      <c r="G868" t="s">
        <v>21</v>
      </c>
      <c r="H868" t="s">
        <v>15</v>
      </c>
      <c r="I868">
        <v>2</v>
      </c>
      <c r="J868" t="s">
        <v>47</v>
      </c>
      <c r="K868" t="s">
        <v>32</v>
      </c>
      <c r="L868">
        <v>55</v>
      </c>
      <c r="M868" t="str">
        <f t="shared" si="13"/>
        <v>Old 55+</v>
      </c>
      <c r="N868" t="s">
        <v>18</v>
      </c>
    </row>
    <row r="869" spans="1:14" x14ac:dyDescent="0.3">
      <c r="A869">
        <v>26693</v>
      </c>
      <c r="B869" t="s">
        <v>36</v>
      </c>
      <c r="C869" t="s">
        <v>39</v>
      </c>
      <c r="D869">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39</v>
      </c>
      <c r="D870">
        <v>30000</v>
      </c>
      <c r="E870">
        <v>5</v>
      </c>
      <c r="F870" t="s">
        <v>29</v>
      </c>
      <c r="G870" t="s">
        <v>14</v>
      </c>
      <c r="H870" t="s">
        <v>15</v>
      </c>
      <c r="I870">
        <v>3</v>
      </c>
      <c r="J870" t="s">
        <v>47</v>
      </c>
      <c r="K870" t="s">
        <v>32</v>
      </c>
      <c r="L870">
        <v>60</v>
      </c>
      <c r="M870" t="str">
        <f t="shared" si="13"/>
        <v>Old 55+</v>
      </c>
      <c r="N870" t="s">
        <v>15</v>
      </c>
    </row>
    <row r="871" spans="1:14" x14ac:dyDescent="0.3">
      <c r="A871">
        <v>26065</v>
      </c>
      <c r="B871" t="s">
        <v>37</v>
      </c>
      <c r="C871" t="s">
        <v>40</v>
      </c>
      <c r="D871">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39</v>
      </c>
      <c r="D872">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39</v>
      </c>
      <c r="D873">
        <v>60000</v>
      </c>
      <c r="E873">
        <v>2</v>
      </c>
      <c r="F873" t="s">
        <v>27</v>
      </c>
      <c r="G873" t="s">
        <v>21</v>
      </c>
      <c r="H873" t="s">
        <v>15</v>
      </c>
      <c r="I873">
        <v>2</v>
      </c>
      <c r="J873" t="s">
        <v>47</v>
      </c>
      <c r="K873" t="s">
        <v>32</v>
      </c>
      <c r="L873">
        <v>55</v>
      </c>
      <c r="M873" t="str">
        <f t="shared" si="13"/>
        <v>Old 55+</v>
      </c>
      <c r="N873" t="s">
        <v>18</v>
      </c>
    </row>
    <row r="874" spans="1:14" x14ac:dyDescent="0.3">
      <c r="A874">
        <v>22118</v>
      </c>
      <c r="B874" t="s">
        <v>37</v>
      </c>
      <c r="C874" t="s">
        <v>40</v>
      </c>
      <c r="D874">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39</v>
      </c>
      <c r="D875">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40</v>
      </c>
      <c r="D876">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40</v>
      </c>
      <c r="D877">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39</v>
      </c>
      <c r="D878">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39</v>
      </c>
      <c r="D880">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39</v>
      </c>
      <c r="D881">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39</v>
      </c>
      <c r="D882">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40</v>
      </c>
      <c r="D88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39</v>
      </c>
      <c r="D884">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40</v>
      </c>
      <c r="D885">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39</v>
      </c>
      <c r="D886">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40</v>
      </c>
      <c r="D887">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39</v>
      </c>
      <c r="D888">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39</v>
      </c>
      <c r="D889">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40</v>
      </c>
      <c r="D890">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40</v>
      </c>
      <c r="D891">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40</v>
      </c>
      <c r="D892">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39</v>
      </c>
      <c r="D89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40</v>
      </c>
      <c r="D894">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39</v>
      </c>
      <c r="D895">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39</v>
      </c>
      <c r="D896">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40</v>
      </c>
      <c r="D897">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40</v>
      </c>
      <c r="D898">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39</v>
      </c>
      <c r="D899">
        <v>30000</v>
      </c>
      <c r="E899">
        <v>0</v>
      </c>
      <c r="F899" t="s">
        <v>29</v>
      </c>
      <c r="G899" t="s">
        <v>20</v>
      </c>
      <c r="H899" t="s">
        <v>18</v>
      </c>
      <c r="I899">
        <v>2</v>
      </c>
      <c r="J899" t="s">
        <v>16</v>
      </c>
      <c r="K899" t="s">
        <v>32</v>
      </c>
      <c r="L899">
        <v>28</v>
      </c>
      <c r="M899" t="str">
        <f t="shared" ref="M899:M962" si="14">IF(L899&gt;54,"Old 55+",IF(L899&gt;=31,"Middle Age 31-54",IF(L899&lt;31,"Adolescent 0-30", "Invalid")))</f>
        <v>Adolescent 0-30</v>
      </c>
      <c r="N899" t="s">
        <v>18</v>
      </c>
    </row>
    <row r="900" spans="1:14" x14ac:dyDescent="0.3">
      <c r="A900">
        <v>18066</v>
      </c>
      <c r="B900" t="s">
        <v>37</v>
      </c>
      <c r="C900" t="s">
        <v>39</v>
      </c>
      <c r="D900">
        <v>70000</v>
      </c>
      <c r="E900">
        <v>5</v>
      </c>
      <c r="F900" t="s">
        <v>13</v>
      </c>
      <c r="G900" t="s">
        <v>28</v>
      </c>
      <c r="H900" t="s">
        <v>15</v>
      </c>
      <c r="I900">
        <v>3</v>
      </c>
      <c r="J900" t="s">
        <v>47</v>
      </c>
      <c r="K900" t="s">
        <v>32</v>
      </c>
      <c r="L900">
        <v>60</v>
      </c>
      <c r="M900" t="str">
        <f t="shared" si="14"/>
        <v>Old 55+</v>
      </c>
      <c r="N900" t="s">
        <v>15</v>
      </c>
    </row>
    <row r="901" spans="1:14" x14ac:dyDescent="0.3">
      <c r="A901">
        <v>28192</v>
      </c>
      <c r="B901" t="s">
        <v>36</v>
      </c>
      <c r="C901" t="s">
        <v>40</v>
      </c>
      <c r="D901">
        <v>70000</v>
      </c>
      <c r="E901">
        <v>5</v>
      </c>
      <c r="F901" t="s">
        <v>31</v>
      </c>
      <c r="G901" t="s">
        <v>21</v>
      </c>
      <c r="H901" t="s">
        <v>15</v>
      </c>
      <c r="I901">
        <v>3</v>
      </c>
      <c r="J901" t="s">
        <v>47</v>
      </c>
      <c r="K901" t="s">
        <v>32</v>
      </c>
      <c r="L901">
        <v>46</v>
      </c>
      <c r="M901" t="str">
        <f t="shared" si="14"/>
        <v>Middle Age 31-54</v>
      </c>
      <c r="N901" t="s">
        <v>18</v>
      </c>
    </row>
    <row r="902" spans="1:14" x14ac:dyDescent="0.3">
      <c r="A902">
        <v>16122</v>
      </c>
      <c r="B902" t="s">
        <v>36</v>
      </c>
      <c r="C902" t="s">
        <v>39</v>
      </c>
      <c r="D902">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40</v>
      </c>
      <c r="D90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39</v>
      </c>
      <c r="D904">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39</v>
      </c>
      <c r="D905">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40</v>
      </c>
      <c r="D906">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39</v>
      </c>
      <c r="D907">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39</v>
      </c>
      <c r="D908">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39</v>
      </c>
      <c r="D909">
        <v>50000</v>
      </c>
      <c r="E909">
        <v>4</v>
      </c>
      <c r="F909" t="s">
        <v>13</v>
      </c>
      <c r="G909" t="s">
        <v>28</v>
      </c>
      <c r="H909" t="s">
        <v>15</v>
      </c>
      <c r="I909">
        <v>2</v>
      </c>
      <c r="J909" t="s">
        <v>47</v>
      </c>
      <c r="K909" t="s">
        <v>32</v>
      </c>
      <c r="L909">
        <v>63</v>
      </c>
      <c r="M909" t="str">
        <f t="shared" si="14"/>
        <v>Old 55+</v>
      </c>
      <c r="N909" t="s">
        <v>18</v>
      </c>
    </row>
    <row r="910" spans="1:14" x14ac:dyDescent="0.3">
      <c r="A910">
        <v>23195</v>
      </c>
      <c r="B910" t="s">
        <v>37</v>
      </c>
      <c r="C910" t="s">
        <v>39</v>
      </c>
      <c r="D910">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39</v>
      </c>
      <c r="D911">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39</v>
      </c>
      <c r="D912">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40</v>
      </c>
      <c r="D91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40</v>
      </c>
      <c r="D914">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39</v>
      </c>
      <c r="D915">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39</v>
      </c>
      <c r="D916">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39</v>
      </c>
      <c r="D917">
        <v>60000</v>
      </c>
      <c r="E917">
        <v>3</v>
      </c>
      <c r="F917" t="s">
        <v>31</v>
      </c>
      <c r="G917" t="s">
        <v>28</v>
      </c>
      <c r="H917" t="s">
        <v>15</v>
      </c>
      <c r="I917">
        <v>2</v>
      </c>
      <c r="J917" t="s">
        <v>47</v>
      </c>
      <c r="K917" t="s">
        <v>32</v>
      </c>
      <c r="L917">
        <v>64</v>
      </c>
      <c r="M917" t="str">
        <f t="shared" si="14"/>
        <v>Old 55+</v>
      </c>
      <c r="N917" t="s">
        <v>18</v>
      </c>
    </row>
    <row r="918" spans="1:14" x14ac:dyDescent="0.3">
      <c r="A918">
        <v>27273</v>
      </c>
      <c r="B918" t="s">
        <v>37</v>
      </c>
      <c r="C918" t="s">
        <v>39</v>
      </c>
      <c r="D918">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39</v>
      </c>
      <c r="D919">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40</v>
      </c>
      <c r="D920">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40</v>
      </c>
      <c r="D921">
        <v>40000</v>
      </c>
      <c r="E921">
        <v>4</v>
      </c>
      <c r="F921" t="s">
        <v>27</v>
      </c>
      <c r="G921" t="s">
        <v>21</v>
      </c>
      <c r="H921" t="s">
        <v>15</v>
      </c>
      <c r="I921">
        <v>2</v>
      </c>
      <c r="J921" t="s">
        <v>47</v>
      </c>
      <c r="K921" t="s">
        <v>32</v>
      </c>
      <c r="L921">
        <v>61</v>
      </c>
      <c r="M921" t="str">
        <f t="shared" si="14"/>
        <v>Old 55+</v>
      </c>
      <c r="N921" t="s">
        <v>18</v>
      </c>
    </row>
    <row r="922" spans="1:14" x14ac:dyDescent="0.3">
      <c r="A922">
        <v>20754</v>
      </c>
      <c r="B922" t="s">
        <v>36</v>
      </c>
      <c r="C922" t="s">
        <v>39</v>
      </c>
      <c r="D922">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40</v>
      </c>
      <c r="D92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40</v>
      </c>
      <c r="D924">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39</v>
      </c>
      <c r="D925">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39</v>
      </c>
      <c r="D926">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40</v>
      </c>
      <c r="D927">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40</v>
      </c>
      <c r="D928">
        <v>40000</v>
      </c>
      <c r="E928">
        <v>2</v>
      </c>
      <c r="F928" t="s">
        <v>27</v>
      </c>
      <c r="G928" t="s">
        <v>21</v>
      </c>
      <c r="H928" t="s">
        <v>15</v>
      </c>
      <c r="I928">
        <v>2</v>
      </c>
      <c r="J928" t="s">
        <v>47</v>
      </c>
      <c r="K928" t="s">
        <v>32</v>
      </c>
      <c r="L928">
        <v>57</v>
      </c>
      <c r="M928" t="str">
        <f t="shared" si="14"/>
        <v>Old 55+</v>
      </c>
      <c r="N928" t="s">
        <v>18</v>
      </c>
    </row>
    <row r="929" spans="1:14" x14ac:dyDescent="0.3">
      <c r="A929">
        <v>11823</v>
      </c>
      <c r="B929" t="s">
        <v>36</v>
      </c>
      <c r="C929" t="s">
        <v>40</v>
      </c>
      <c r="D929">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39</v>
      </c>
      <c r="D930">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39</v>
      </c>
      <c r="D931">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39</v>
      </c>
      <c r="D932">
        <v>70000</v>
      </c>
      <c r="E932">
        <v>5</v>
      </c>
      <c r="F932" t="s">
        <v>31</v>
      </c>
      <c r="G932" t="s">
        <v>21</v>
      </c>
      <c r="H932" t="s">
        <v>18</v>
      </c>
      <c r="I932">
        <v>3</v>
      </c>
      <c r="J932" t="s">
        <v>47</v>
      </c>
      <c r="K932" t="s">
        <v>32</v>
      </c>
      <c r="L932">
        <v>47</v>
      </c>
      <c r="M932" t="str">
        <f t="shared" si="14"/>
        <v>Middle Age 31-54</v>
      </c>
      <c r="N932" t="s">
        <v>18</v>
      </c>
    </row>
    <row r="933" spans="1:14" x14ac:dyDescent="0.3">
      <c r="A933">
        <v>14914</v>
      </c>
      <c r="B933" t="s">
        <v>36</v>
      </c>
      <c r="C933" t="s">
        <v>40</v>
      </c>
      <c r="D93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40</v>
      </c>
      <c r="D934">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40</v>
      </c>
      <c r="D937">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40</v>
      </c>
      <c r="D938">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39</v>
      </c>
      <c r="D939">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40</v>
      </c>
      <c r="D940">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40</v>
      </c>
      <c r="D942">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40</v>
      </c>
      <c r="D94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40</v>
      </c>
      <c r="D944">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40</v>
      </c>
      <c r="D945">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40</v>
      </c>
      <c r="D946">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39</v>
      </c>
      <c r="D947">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40</v>
      </c>
      <c r="D948">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40</v>
      </c>
      <c r="D949">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40</v>
      </c>
      <c r="D950">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39</v>
      </c>
      <c r="D951">
        <v>70000</v>
      </c>
      <c r="E951">
        <v>2</v>
      </c>
      <c r="F951" t="s">
        <v>29</v>
      </c>
      <c r="G951" t="s">
        <v>14</v>
      </c>
      <c r="H951" t="s">
        <v>15</v>
      </c>
      <c r="I951">
        <v>2</v>
      </c>
      <c r="J951" t="s">
        <v>47</v>
      </c>
      <c r="K951" t="s">
        <v>32</v>
      </c>
      <c r="L951">
        <v>53</v>
      </c>
      <c r="M951" t="str">
        <f t="shared" si="14"/>
        <v>Middle Age 31-54</v>
      </c>
      <c r="N951" t="s">
        <v>18</v>
      </c>
    </row>
    <row r="952" spans="1:14" x14ac:dyDescent="0.3">
      <c r="A952">
        <v>11788</v>
      </c>
      <c r="B952" t="s">
        <v>37</v>
      </c>
      <c r="C952" t="s">
        <v>40</v>
      </c>
      <c r="D952">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39</v>
      </c>
      <c r="D95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40</v>
      </c>
      <c r="D954">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40</v>
      </c>
      <c r="D955">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40</v>
      </c>
      <c r="D957">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40</v>
      </c>
      <c r="D958">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40</v>
      </c>
      <c r="D959">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39</v>
      </c>
      <c r="D961">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39</v>
      </c>
      <c r="D962">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40</v>
      </c>
      <c r="D963">
        <v>120000</v>
      </c>
      <c r="E963">
        <v>2</v>
      </c>
      <c r="F963" t="s">
        <v>13</v>
      </c>
      <c r="G963" t="s">
        <v>28</v>
      </c>
      <c r="H963" t="s">
        <v>15</v>
      </c>
      <c r="I963">
        <v>3</v>
      </c>
      <c r="J963" t="s">
        <v>23</v>
      </c>
      <c r="K963" t="s">
        <v>32</v>
      </c>
      <c r="L963">
        <v>62</v>
      </c>
      <c r="M963" t="str">
        <f t="shared" ref="M963:M1001" si="15">IF(L963&gt;54,"Old 55+",IF(L963&gt;=31,"Middle Age 31-54",IF(L963&lt;31,"Adolescent 0-30", "Invalid")))</f>
        <v>Old 55+</v>
      </c>
      <c r="N963" t="s">
        <v>18</v>
      </c>
    </row>
    <row r="964" spans="1:14" x14ac:dyDescent="0.3">
      <c r="A964">
        <v>16813</v>
      </c>
      <c r="B964" t="s">
        <v>36</v>
      </c>
      <c r="C964" t="s">
        <v>39</v>
      </c>
      <c r="D964">
        <v>60000</v>
      </c>
      <c r="E964">
        <v>2</v>
      </c>
      <c r="F964" t="s">
        <v>19</v>
      </c>
      <c r="G964" t="s">
        <v>21</v>
      </c>
      <c r="H964" t="s">
        <v>15</v>
      </c>
      <c r="I964">
        <v>2</v>
      </c>
      <c r="J964" t="s">
        <v>47</v>
      </c>
      <c r="K964" t="s">
        <v>32</v>
      </c>
      <c r="L964">
        <v>55</v>
      </c>
      <c r="M964" t="str">
        <f t="shared" si="15"/>
        <v>Old 55+</v>
      </c>
      <c r="N964" t="s">
        <v>18</v>
      </c>
    </row>
    <row r="965" spans="1:14" x14ac:dyDescent="0.3">
      <c r="A965">
        <v>16007</v>
      </c>
      <c r="B965" t="s">
        <v>36</v>
      </c>
      <c r="C965" t="s">
        <v>40</v>
      </c>
      <c r="D965">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39</v>
      </c>
      <c r="D966">
        <v>70000</v>
      </c>
      <c r="E966">
        <v>4</v>
      </c>
      <c r="F966" t="s">
        <v>19</v>
      </c>
      <c r="G966" t="s">
        <v>21</v>
      </c>
      <c r="H966" t="s">
        <v>15</v>
      </c>
      <c r="I966">
        <v>1</v>
      </c>
      <c r="J966" t="s">
        <v>47</v>
      </c>
      <c r="K966" t="s">
        <v>32</v>
      </c>
      <c r="L966">
        <v>56</v>
      </c>
      <c r="M966" t="str">
        <f t="shared" si="15"/>
        <v>Old 55+</v>
      </c>
      <c r="N966" t="s">
        <v>18</v>
      </c>
    </row>
    <row r="967" spans="1:14" x14ac:dyDescent="0.3">
      <c r="A967">
        <v>27756</v>
      </c>
      <c r="B967" t="s">
        <v>37</v>
      </c>
      <c r="C967" t="s">
        <v>40</v>
      </c>
      <c r="D967">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40</v>
      </c>
      <c r="D968">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39</v>
      </c>
      <c r="D969">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39</v>
      </c>
      <c r="D970">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40</v>
      </c>
      <c r="D972">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40</v>
      </c>
      <c r="D97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40</v>
      </c>
      <c r="D974">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39</v>
      </c>
      <c r="D975">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39</v>
      </c>
      <c r="D976">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39</v>
      </c>
      <c r="D977">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40</v>
      </c>
      <c r="D978">
        <v>60000</v>
      </c>
      <c r="E978">
        <v>3</v>
      </c>
      <c r="F978" t="s">
        <v>13</v>
      </c>
      <c r="G978" t="s">
        <v>28</v>
      </c>
      <c r="H978" t="s">
        <v>15</v>
      </c>
      <c r="I978">
        <v>2</v>
      </c>
      <c r="J978" t="s">
        <v>47</v>
      </c>
      <c r="K978" t="s">
        <v>32</v>
      </c>
      <c r="L978">
        <v>66</v>
      </c>
      <c r="M978" t="str">
        <f t="shared" si="15"/>
        <v>Old 55+</v>
      </c>
      <c r="N978" t="s">
        <v>18</v>
      </c>
    </row>
    <row r="979" spans="1:14" x14ac:dyDescent="0.3">
      <c r="A979">
        <v>19741</v>
      </c>
      <c r="B979" t="s">
        <v>37</v>
      </c>
      <c r="C979" t="s">
        <v>40</v>
      </c>
      <c r="D979">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39</v>
      </c>
      <c r="D980">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39</v>
      </c>
      <c r="D981">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40</v>
      </c>
      <c r="D982">
        <v>80000</v>
      </c>
      <c r="E982">
        <v>3</v>
      </c>
      <c r="F982" t="s">
        <v>13</v>
      </c>
      <c r="G982" t="s">
        <v>14</v>
      </c>
      <c r="H982" t="s">
        <v>15</v>
      </c>
      <c r="I982">
        <v>3</v>
      </c>
      <c r="J982" t="s">
        <v>47</v>
      </c>
      <c r="K982" t="s">
        <v>32</v>
      </c>
      <c r="L982">
        <v>40</v>
      </c>
      <c r="M982" t="str">
        <f t="shared" si="15"/>
        <v>Middle Age 31-54</v>
      </c>
      <c r="N982" t="s">
        <v>15</v>
      </c>
    </row>
    <row r="983" spans="1:14" x14ac:dyDescent="0.3">
      <c r="A983">
        <v>15982</v>
      </c>
      <c r="B983" t="s">
        <v>36</v>
      </c>
      <c r="C983" t="s">
        <v>39</v>
      </c>
      <c r="D98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39</v>
      </c>
      <c r="D984">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39</v>
      </c>
      <c r="D985">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39</v>
      </c>
      <c r="D986">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40</v>
      </c>
      <c r="D987">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39</v>
      </c>
      <c r="D988">
        <v>40000</v>
      </c>
      <c r="E988">
        <v>5</v>
      </c>
      <c r="F988" t="s">
        <v>27</v>
      </c>
      <c r="G988" t="s">
        <v>21</v>
      </c>
      <c r="H988" t="s">
        <v>15</v>
      </c>
      <c r="I988">
        <v>4</v>
      </c>
      <c r="J988" t="s">
        <v>47</v>
      </c>
      <c r="K988" t="s">
        <v>32</v>
      </c>
      <c r="L988">
        <v>60</v>
      </c>
      <c r="M988" t="str">
        <f t="shared" si="15"/>
        <v>Old 55+</v>
      </c>
      <c r="N988" t="s">
        <v>15</v>
      </c>
    </row>
    <row r="989" spans="1:14" x14ac:dyDescent="0.3">
      <c r="A989">
        <v>28972</v>
      </c>
      <c r="B989" t="s">
        <v>37</v>
      </c>
      <c r="C989" t="s">
        <v>40</v>
      </c>
      <c r="D989">
        <v>60000</v>
      </c>
      <c r="E989">
        <v>3</v>
      </c>
      <c r="F989" t="s">
        <v>31</v>
      </c>
      <c r="G989" t="s">
        <v>28</v>
      </c>
      <c r="H989" t="s">
        <v>15</v>
      </c>
      <c r="I989">
        <v>2</v>
      </c>
      <c r="J989" t="s">
        <v>47</v>
      </c>
      <c r="K989" t="s">
        <v>32</v>
      </c>
      <c r="L989">
        <v>66</v>
      </c>
      <c r="M989" t="str">
        <f t="shared" si="15"/>
        <v>Old 55+</v>
      </c>
      <c r="N989" t="s">
        <v>18</v>
      </c>
    </row>
    <row r="990" spans="1:14" x14ac:dyDescent="0.3">
      <c r="A990">
        <v>22730</v>
      </c>
      <c r="B990" t="s">
        <v>36</v>
      </c>
      <c r="C990" t="s">
        <v>39</v>
      </c>
      <c r="D990">
        <v>70000</v>
      </c>
      <c r="E990">
        <v>5</v>
      </c>
      <c r="F990" t="s">
        <v>13</v>
      </c>
      <c r="G990" t="s">
        <v>28</v>
      </c>
      <c r="H990" t="s">
        <v>15</v>
      </c>
      <c r="I990">
        <v>2</v>
      </c>
      <c r="J990" t="s">
        <v>47</v>
      </c>
      <c r="K990" t="s">
        <v>32</v>
      </c>
      <c r="L990">
        <v>63</v>
      </c>
      <c r="M990" t="str">
        <f t="shared" si="15"/>
        <v>Old 55+</v>
      </c>
      <c r="N990" t="s">
        <v>18</v>
      </c>
    </row>
    <row r="991" spans="1:14" x14ac:dyDescent="0.3">
      <c r="A991">
        <v>29134</v>
      </c>
      <c r="B991" t="s">
        <v>36</v>
      </c>
      <c r="C991" t="s">
        <v>39</v>
      </c>
      <c r="D991">
        <v>60000</v>
      </c>
      <c r="E991">
        <v>4</v>
      </c>
      <c r="F991" t="s">
        <v>13</v>
      </c>
      <c r="G991" t="s">
        <v>14</v>
      </c>
      <c r="H991" t="s">
        <v>18</v>
      </c>
      <c r="I991">
        <v>3</v>
      </c>
      <c r="J991" t="s">
        <v>47</v>
      </c>
      <c r="K991" t="s">
        <v>32</v>
      </c>
      <c r="L991">
        <v>42</v>
      </c>
      <c r="M991" t="str">
        <f t="shared" si="15"/>
        <v>Middle Age 31-54</v>
      </c>
      <c r="N991" t="s">
        <v>18</v>
      </c>
    </row>
    <row r="992" spans="1:14" x14ac:dyDescent="0.3">
      <c r="A992">
        <v>14332</v>
      </c>
      <c r="B992" t="s">
        <v>37</v>
      </c>
      <c r="C992" t="s">
        <v>40</v>
      </c>
      <c r="D992">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40</v>
      </c>
      <c r="D99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39</v>
      </c>
      <c r="D994">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39</v>
      </c>
      <c r="D995">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39</v>
      </c>
      <c r="D996">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39</v>
      </c>
      <c r="D997">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39</v>
      </c>
      <c r="D998">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39</v>
      </c>
      <c r="D999">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39</v>
      </c>
      <c r="D1000">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39</v>
      </c>
      <c r="D1001">
        <v>60000</v>
      </c>
      <c r="E1001">
        <v>3</v>
      </c>
      <c r="F1001" t="s">
        <v>27</v>
      </c>
      <c r="G1001" t="s">
        <v>21</v>
      </c>
      <c r="H1001" t="s">
        <v>15</v>
      </c>
      <c r="I1001">
        <v>2</v>
      </c>
      <c r="J1001" t="s">
        <v>47</v>
      </c>
      <c r="K1001" t="s">
        <v>32</v>
      </c>
      <c r="L1001">
        <v>53</v>
      </c>
      <c r="M1001" t="str">
        <f t="shared" si="15"/>
        <v>Middle Age 31-54</v>
      </c>
      <c r="N1001" t="s">
        <v>15</v>
      </c>
    </row>
  </sheetData>
  <autoFilter ref="A1:Z1001" xr:uid="{7632B946-52BC-499A-A0B3-7EE6690AE5B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96388-F7AB-42D6-9958-C8CD5F3911F8}">
  <dimension ref="A3:D103"/>
  <sheetViews>
    <sheetView topLeftCell="C17" zoomScale="81" zoomScaleNormal="98" workbookViewId="0">
      <selection activeCell="B51" sqref="B51"/>
    </sheetView>
  </sheetViews>
  <sheetFormatPr defaultRowHeight="14.4" x14ac:dyDescent="0.3"/>
  <cols>
    <col min="1" max="1" width="21.88671875" bestFit="1" customWidth="1"/>
    <col min="2" max="2" width="16.109375" bestFit="1" customWidth="1"/>
    <col min="3" max="3" width="4" bestFit="1" customWidth="1"/>
    <col min="4" max="4" width="10.77734375" bestFit="1" customWidth="1"/>
  </cols>
  <sheetData>
    <row r="3" spans="1:4" x14ac:dyDescent="0.3">
      <c r="A3" s="3" t="s">
        <v>44</v>
      </c>
      <c r="B3" s="3" t="s">
        <v>45</v>
      </c>
    </row>
    <row r="4" spans="1:4" x14ac:dyDescent="0.3">
      <c r="A4" s="3" t="s">
        <v>42</v>
      </c>
      <c r="B4" t="s">
        <v>18</v>
      </c>
      <c r="C4" t="s">
        <v>15</v>
      </c>
      <c r="D4" t="s">
        <v>43</v>
      </c>
    </row>
    <row r="5" spans="1:4" x14ac:dyDescent="0.3">
      <c r="A5" s="4" t="s">
        <v>40</v>
      </c>
      <c r="B5" s="5">
        <v>54885.496183206109</v>
      </c>
      <c r="C5" s="5">
        <v>59259.259259259263</v>
      </c>
      <c r="D5" s="5">
        <v>56861.924686192469</v>
      </c>
    </row>
    <row r="6" spans="1:4" x14ac:dyDescent="0.3">
      <c r="A6" s="4" t="s">
        <v>39</v>
      </c>
      <c r="B6" s="5">
        <v>59431.818181818184</v>
      </c>
      <c r="C6" s="5">
        <v>61300.813008130084</v>
      </c>
      <c r="D6" s="5">
        <v>60200.668896321069</v>
      </c>
    </row>
    <row r="7" spans="1:4" x14ac:dyDescent="0.3">
      <c r="A7" s="4" t="s">
        <v>43</v>
      </c>
      <c r="B7" s="5">
        <v>57491.856677524433</v>
      </c>
      <c r="C7" s="5">
        <v>60346.320346320346</v>
      </c>
      <c r="D7" s="5">
        <v>58717.472118959107</v>
      </c>
    </row>
    <row r="17" spans="1:4" x14ac:dyDescent="0.3">
      <c r="A17" s="3" t="s">
        <v>46</v>
      </c>
      <c r="B17" s="3" t="s">
        <v>45</v>
      </c>
    </row>
    <row r="18" spans="1:4" x14ac:dyDescent="0.3">
      <c r="A18" s="3" t="s">
        <v>42</v>
      </c>
      <c r="B18" t="s">
        <v>18</v>
      </c>
      <c r="C18" t="s">
        <v>15</v>
      </c>
      <c r="D18" t="s">
        <v>43</v>
      </c>
    </row>
    <row r="19" spans="1:4" x14ac:dyDescent="0.3">
      <c r="A19" s="4" t="s">
        <v>16</v>
      </c>
      <c r="B19" s="6">
        <v>107</v>
      </c>
      <c r="C19" s="6">
        <v>98</v>
      </c>
      <c r="D19" s="6">
        <v>205</v>
      </c>
    </row>
    <row r="20" spans="1:4" x14ac:dyDescent="0.3">
      <c r="A20" s="4" t="s">
        <v>26</v>
      </c>
      <c r="B20" s="6">
        <v>50</v>
      </c>
      <c r="C20" s="6">
        <v>38</v>
      </c>
      <c r="D20" s="6">
        <v>88</v>
      </c>
    </row>
    <row r="21" spans="1:4" x14ac:dyDescent="0.3">
      <c r="A21" s="4" t="s">
        <v>22</v>
      </c>
      <c r="B21" s="6">
        <v>37</v>
      </c>
      <c r="C21" s="6">
        <v>44</v>
      </c>
      <c r="D21" s="6">
        <v>81</v>
      </c>
    </row>
    <row r="22" spans="1:4" x14ac:dyDescent="0.3">
      <c r="A22" s="4" t="s">
        <v>23</v>
      </c>
      <c r="B22" s="6">
        <v>63</v>
      </c>
      <c r="C22" s="6">
        <v>38</v>
      </c>
      <c r="D22" s="6">
        <v>101</v>
      </c>
    </row>
    <row r="23" spans="1:4" x14ac:dyDescent="0.3">
      <c r="A23" s="4" t="s">
        <v>47</v>
      </c>
      <c r="B23" s="6">
        <v>50</v>
      </c>
      <c r="C23" s="6">
        <v>13</v>
      </c>
      <c r="D23" s="6">
        <v>63</v>
      </c>
    </row>
    <row r="24" spans="1:4" x14ac:dyDescent="0.3">
      <c r="A24" s="4" t="s">
        <v>43</v>
      </c>
      <c r="B24" s="6">
        <v>307</v>
      </c>
      <c r="C24" s="6">
        <v>231</v>
      </c>
      <c r="D24" s="6">
        <v>538</v>
      </c>
    </row>
    <row r="32" spans="1:4" x14ac:dyDescent="0.3">
      <c r="A32" s="3" t="s">
        <v>46</v>
      </c>
      <c r="B32" s="3" t="s">
        <v>45</v>
      </c>
    </row>
    <row r="33" spans="1:4" x14ac:dyDescent="0.3">
      <c r="A33" s="3" t="s">
        <v>42</v>
      </c>
      <c r="B33" t="s">
        <v>18</v>
      </c>
      <c r="C33" t="s">
        <v>15</v>
      </c>
      <c r="D33" t="s">
        <v>43</v>
      </c>
    </row>
    <row r="34" spans="1:4" x14ac:dyDescent="0.3">
      <c r="A34" s="4" t="s">
        <v>50</v>
      </c>
      <c r="B34" s="6">
        <v>24</v>
      </c>
      <c r="C34" s="6">
        <v>14</v>
      </c>
      <c r="D34" s="6">
        <v>38</v>
      </c>
    </row>
    <row r="35" spans="1:4" x14ac:dyDescent="0.3">
      <c r="A35" s="4" t="s">
        <v>48</v>
      </c>
      <c r="B35" s="6">
        <v>187</v>
      </c>
      <c r="C35" s="6">
        <v>185</v>
      </c>
      <c r="D35" s="6">
        <v>372</v>
      </c>
    </row>
    <row r="36" spans="1:4" x14ac:dyDescent="0.3">
      <c r="A36" s="4" t="s">
        <v>49</v>
      </c>
      <c r="B36" s="6">
        <v>96</v>
      </c>
      <c r="C36" s="6">
        <v>32</v>
      </c>
      <c r="D36" s="6">
        <v>128</v>
      </c>
    </row>
    <row r="37" spans="1:4" x14ac:dyDescent="0.3">
      <c r="A37" s="4" t="s">
        <v>43</v>
      </c>
      <c r="B37" s="6">
        <v>307</v>
      </c>
      <c r="C37" s="6">
        <v>231</v>
      </c>
      <c r="D37" s="6">
        <v>538</v>
      </c>
    </row>
    <row r="49" spans="1:4" x14ac:dyDescent="0.3">
      <c r="A49" s="3" t="s">
        <v>46</v>
      </c>
      <c r="B49" s="3" t="s">
        <v>45</v>
      </c>
    </row>
    <row r="50" spans="1:4" x14ac:dyDescent="0.3">
      <c r="A50" s="3" t="s">
        <v>42</v>
      </c>
      <c r="B50" t="s">
        <v>18</v>
      </c>
      <c r="C50" t="s">
        <v>15</v>
      </c>
      <c r="D50" t="s">
        <v>43</v>
      </c>
    </row>
    <row r="51" spans="1:4" x14ac:dyDescent="0.3">
      <c r="A51" s="4">
        <v>25</v>
      </c>
      <c r="B51" s="6">
        <v>1</v>
      </c>
      <c r="C51" s="6">
        <v>2</v>
      </c>
      <c r="D51" s="6">
        <v>3</v>
      </c>
    </row>
    <row r="52" spans="1:4" x14ac:dyDescent="0.3">
      <c r="A52" s="4">
        <v>26</v>
      </c>
      <c r="B52" s="6">
        <v>1</v>
      </c>
      <c r="C52" s="6">
        <v>4</v>
      </c>
      <c r="D52" s="6">
        <v>5</v>
      </c>
    </row>
    <row r="53" spans="1:4" x14ac:dyDescent="0.3">
      <c r="A53" s="4">
        <v>27</v>
      </c>
      <c r="B53" s="6">
        <v>6</v>
      </c>
      <c r="C53" s="6">
        <v>4</v>
      </c>
      <c r="D53" s="6">
        <v>10</v>
      </c>
    </row>
    <row r="54" spans="1:4" x14ac:dyDescent="0.3">
      <c r="A54" s="4">
        <v>28</v>
      </c>
      <c r="B54" s="6">
        <v>4</v>
      </c>
      <c r="C54" s="6">
        <v>3</v>
      </c>
      <c r="D54" s="6">
        <v>7</v>
      </c>
    </row>
    <row r="55" spans="1:4" x14ac:dyDescent="0.3">
      <c r="A55" s="4">
        <v>29</v>
      </c>
      <c r="B55" s="6">
        <v>4</v>
      </c>
      <c r="C55" s="6">
        <v>1</v>
      </c>
      <c r="D55" s="6">
        <v>5</v>
      </c>
    </row>
    <row r="56" spans="1:4" x14ac:dyDescent="0.3">
      <c r="A56" s="4">
        <v>30</v>
      </c>
      <c r="B56" s="6">
        <v>8</v>
      </c>
      <c r="C56" s="6"/>
      <c r="D56" s="6">
        <v>8</v>
      </c>
    </row>
    <row r="57" spans="1:4" x14ac:dyDescent="0.3">
      <c r="A57" s="4">
        <v>31</v>
      </c>
      <c r="B57" s="6">
        <v>5</v>
      </c>
      <c r="C57" s="6"/>
      <c r="D57" s="6">
        <v>5</v>
      </c>
    </row>
    <row r="58" spans="1:4" x14ac:dyDescent="0.3">
      <c r="A58" s="4">
        <v>32</v>
      </c>
      <c r="B58" s="6">
        <v>10</v>
      </c>
      <c r="C58" s="6">
        <v>8</v>
      </c>
      <c r="D58" s="6">
        <v>18</v>
      </c>
    </row>
    <row r="59" spans="1:4" x14ac:dyDescent="0.3">
      <c r="A59" s="4">
        <v>33</v>
      </c>
      <c r="B59" s="6">
        <v>3</v>
      </c>
      <c r="C59" s="6">
        <v>5</v>
      </c>
      <c r="D59" s="6">
        <v>8</v>
      </c>
    </row>
    <row r="60" spans="1:4" x14ac:dyDescent="0.3">
      <c r="A60" s="4">
        <v>34</v>
      </c>
      <c r="B60" s="6">
        <v>5</v>
      </c>
      <c r="C60" s="6">
        <v>11</v>
      </c>
      <c r="D60" s="6">
        <v>16</v>
      </c>
    </row>
    <row r="61" spans="1:4" x14ac:dyDescent="0.3">
      <c r="A61" s="4">
        <v>35</v>
      </c>
      <c r="B61" s="6">
        <v>4</v>
      </c>
      <c r="C61" s="6">
        <v>13</v>
      </c>
      <c r="D61" s="6">
        <v>17</v>
      </c>
    </row>
    <row r="62" spans="1:4" x14ac:dyDescent="0.3">
      <c r="A62" s="4">
        <v>36</v>
      </c>
      <c r="B62" s="6">
        <v>3</v>
      </c>
      <c r="C62" s="6">
        <v>13</v>
      </c>
      <c r="D62" s="6">
        <v>16</v>
      </c>
    </row>
    <row r="63" spans="1:4" x14ac:dyDescent="0.3">
      <c r="A63" s="4">
        <v>37</v>
      </c>
      <c r="B63" s="6">
        <v>3</v>
      </c>
      <c r="C63" s="6">
        <v>12</v>
      </c>
      <c r="D63" s="6">
        <v>15</v>
      </c>
    </row>
    <row r="64" spans="1:4" x14ac:dyDescent="0.3">
      <c r="A64" s="4">
        <v>38</v>
      </c>
      <c r="B64" s="6">
        <v>3</v>
      </c>
      <c r="C64" s="6">
        <v>10</v>
      </c>
      <c r="D64" s="6">
        <v>13</v>
      </c>
    </row>
    <row r="65" spans="1:4" x14ac:dyDescent="0.3">
      <c r="A65" s="4">
        <v>39</v>
      </c>
      <c r="B65" s="6">
        <v>6</v>
      </c>
      <c r="C65" s="6">
        <v>2</v>
      </c>
      <c r="D65" s="6">
        <v>8</v>
      </c>
    </row>
    <row r="66" spans="1:4" x14ac:dyDescent="0.3">
      <c r="A66" s="4">
        <v>40</v>
      </c>
      <c r="B66" s="6">
        <v>15</v>
      </c>
      <c r="C66" s="6">
        <v>10</v>
      </c>
      <c r="D66" s="6">
        <v>25</v>
      </c>
    </row>
    <row r="67" spans="1:4" x14ac:dyDescent="0.3">
      <c r="A67" s="4">
        <v>41</v>
      </c>
      <c r="B67" s="6">
        <v>10</v>
      </c>
      <c r="C67" s="6">
        <v>4</v>
      </c>
      <c r="D67" s="6">
        <v>14</v>
      </c>
    </row>
    <row r="68" spans="1:4" x14ac:dyDescent="0.3">
      <c r="A68" s="4">
        <v>42</v>
      </c>
      <c r="B68" s="6">
        <v>13</v>
      </c>
      <c r="C68" s="6">
        <v>5</v>
      </c>
      <c r="D68" s="6">
        <v>18</v>
      </c>
    </row>
    <row r="69" spans="1:4" x14ac:dyDescent="0.3">
      <c r="A69" s="4">
        <v>43</v>
      </c>
      <c r="B69" s="6">
        <v>10</v>
      </c>
      <c r="C69" s="6">
        <v>10</v>
      </c>
      <c r="D69" s="6">
        <v>20</v>
      </c>
    </row>
    <row r="70" spans="1:4" x14ac:dyDescent="0.3">
      <c r="A70" s="4">
        <v>44</v>
      </c>
      <c r="B70" s="6">
        <v>8</v>
      </c>
      <c r="C70" s="6">
        <v>8</v>
      </c>
      <c r="D70" s="6">
        <v>16</v>
      </c>
    </row>
    <row r="71" spans="1:4" x14ac:dyDescent="0.3">
      <c r="A71" s="4">
        <v>45</v>
      </c>
      <c r="B71" s="6">
        <v>12</v>
      </c>
      <c r="C71" s="6">
        <v>8</v>
      </c>
      <c r="D71" s="6">
        <v>20</v>
      </c>
    </row>
    <row r="72" spans="1:4" x14ac:dyDescent="0.3">
      <c r="A72" s="4">
        <v>46</v>
      </c>
      <c r="B72" s="6">
        <v>12</v>
      </c>
      <c r="C72" s="6">
        <v>7</v>
      </c>
      <c r="D72" s="6">
        <v>19</v>
      </c>
    </row>
    <row r="73" spans="1:4" x14ac:dyDescent="0.3">
      <c r="A73" s="4">
        <v>47</v>
      </c>
      <c r="B73" s="6">
        <v>14</v>
      </c>
      <c r="C73" s="6">
        <v>9</v>
      </c>
      <c r="D73" s="6">
        <v>23</v>
      </c>
    </row>
    <row r="74" spans="1:4" x14ac:dyDescent="0.3">
      <c r="A74" s="4">
        <v>48</v>
      </c>
      <c r="B74" s="6">
        <v>10</v>
      </c>
      <c r="C74" s="6">
        <v>11</v>
      </c>
      <c r="D74" s="6">
        <v>21</v>
      </c>
    </row>
    <row r="75" spans="1:4" x14ac:dyDescent="0.3">
      <c r="A75" s="4">
        <v>49</v>
      </c>
      <c r="B75" s="6">
        <v>10</v>
      </c>
      <c r="C75" s="6">
        <v>5</v>
      </c>
      <c r="D75" s="6">
        <v>15</v>
      </c>
    </row>
    <row r="76" spans="1:4" x14ac:dyDescent="0.3">
      <c r="A76" s="4">
        <v>50</v>
      </c>
      <c r="B76" s="6">
        <v>5</v>
      </c>
      <c r="C76" s="6">
        <v>8</v>
      </c>
      <c r="D76" s="6">
        <v>13</v>
      </c>
    </row>
    <row r="77" spans="1:4" x14ac:dyDescent="0.3">
      <c r="A77" s="4">
        <v>51</v>
      </c>
      <c r="B77" s="6">
        <v>6</v>
      </c>
      <c r="C77" s="6">
        <v>7</v>
      </c>
      <c r="D77" s="6">
        <v>13</v>
      </c>
    </row>
    <row r="78" spans="1:4" x14ac:dyDescent="0.3">
      <c r="A78" s="4">
        <v>52</v>
      </c>
      <c r="B78" s="6">
        <v>6</v>
      </c>
      <c r="C78" s="6">
        <v>7</v>
      </c>
      <c r="D78" s="6">
        <v>13</v>
      </c>
    </row>
    <row r="79" spans="1:4" x14ac:dyDescent="0.3">
      <c r="A79" s="4">
        <v>53</v>
      </c>
      <c r="B79" s="6">
        <v>9</v>
      </c>
      <c r="C79" s="6">
        <v>5</v>
      </c>
      <c r="D79" s="6">
        <v>14</v>
      </c>
    </row>
    <row r="80" spans="1:4" x14ac:dyDescent="0.3">
      <c r="A80" s="4">
        <v>54</v>
      </c>
      <c r="B80" s="6">
        <v>5</v>
      </c>
      <c r="C80" s="6">
        <v>7</v>
      </c>
      <c r="D80" s="6">
        <v>12</v>
      </c>
    </row>
    <row r="81" spans="1:4" x14ac:dyDescent="0.3">
      <c r="A81" s="4">
        <v>55</v>
      </c>
      <c r="B81" s="6">
        <v>11</v>
      </c>
      <c r="C81" s="6">
        <v>4</v>
      </c>
      <c r="D81" s="6">
        <v>15</v>
      </c>
    </row>
    <row r="82" spans="1:4" x14ac:dyDescent="0.3">
      <c r="A82" s="4">
        <v>56</v>
      </c>
      <c r="B82" s="6">
        <v>8</v>
      </c>
      <c r="C82" s="6">
        <v>3</v>
      </c>
      <c r="D82" s="6">
        <v>11</v>
      </c>
    </row>
    <row r="83" spans="1:4" x14ac:dyDescent="0.3">
      <c r="A83" s="4">
        <v>57</v>
      </c>
      <c r="B83" s="6"/>
      <c r="C83" s="6">
        <v>4</v>
      </c>
      <c r="D83" s="6">
        <v>4</v>
      </c>
    </row>
    <row r="84" spans="1:4" x14ac:dyDescent="0.3">
      <c r="A84" s="4">
        <v>58</v>
      </c>
      <c r="B84" s="6">
        <v>6</v>
      </c>
      <c r="C84" s="6">
        <v>2</v>
      </c>
      <c r="D84" s="6">
        <v>8</v>
      </c>
    </row>
    <row r="85" spans="1:4" x14ac:dyDescent="0.3">
      <c r="A85" s="4">
        <v>59</v>
      </c>
      <c r="B85" s="6">
        <v>12</v>
      </c>
      <c r="C85" s="6">
        <v>2</v>
      </c>
      <c r="D85" s="6">
        <v>14</v>
      </c>
    </row>
    <row r="86" spans="1:4" x14ac:dyDescent="0.3">
      <c r="A86" s="4">
        <v>60</v>
      </c>
      <c r="B86" s="6">
        <v>8</v>
      </c>
      <c r="C86" s="6"/>
      <c r="D86" s="6">
        <v>8</v>
      </c>
    </row>
    <row r="87" spans="1:4" x14ac:dyDescent="0.3">
      <c r="A87" s="4">
        <v>61</v>
      </c>
      <c r="B87" s="6">
        <v>4</v>
      </c>
      <c r="C87" s="6">
        <v>3</v>
      </c>
      <c r="D87" s="6">
        <v>7</v>
      </c>
    </row>
    <row r="88" spans="1:4" x14ac:dyDescent="0.3">
      <c r="A88" s="4">
        <v>62</v>
      </c>
      <c r="B88" s="6">
        <v>5</v>
      </c>
      <c r="C88" s="6"/>
      <c r="D88" s="6">
        <v>5</v>
      </c>
    </row>
    <row r="89" spans="1:4" x14ac:dyDescent="0.3">
      <c r="A89" s="4">
        <v>63</v>
      </c>
      <c r="B89" s="6">
        <v>5</v>
      </c>
      <c r="C89" s="6">
        <v>1</v>
      </c>
      <c r="D89" s="6">
        <v>6</v>
      </c>
    </row>
    <row r="90" spans="1:4" x14ac:dyDescent="0.3">
      <c r="A90" s="4">
        <v>64</v>
      </c>
      <c r="B90" s="6">
        <v>7</v>
      </c>
      <c r="C90" s="6">
        <v>3</v>
      </c>
      <c r="D90" s="6">
        <v>10</v>
      </c>
    </row>
    <row r="91" spans="1:4" x14ac:dyDescent="0.3">
      <c r="A91" s="4">
        <v>65</v>
      </c>
      <c r="B91" s="6">
        <v>5</v>
      </c>
      <c r="C91" s="6">
        <v>1</v>
      </c>
      <c r="D91" s="6">
        <v>6</v>
      </c>
    </row>
    <row r="92" spans="1:4" x14ac:dyDescent="0.3">
      <c r="A92" s="4">
        <v>66</v>
      </c>
      <c r="B92" s="6">
        <v>6</v>
      </c>
      <c r="C92" s="6">
        <v>4</v>
      </c>
      <c r="D92" s="6">
        <v>10</v>
      </c>
    </row>
    <row r="93" spans="1:4" x14ac:dyDescent="0.3">
      <c r="A93" s="4">
        <v>67</v>
      </c>
      <c r="B93" s="6">
        <v>4</v>
      </c>
      <c r="C93" s="6">
        <v>1</v>
      </c>
      <c r="D93" s="6">
        <v>5</v>
      </c>
    </row>
    <row r="94" spans="1:4" x14ac:dyDescent="0.3">
      <c r="A94" s="4">
        <v>68</v>
      </c>
      <c r="B94" s="6">
        <v>1</v>
      </c>
      <c r="C94" s="6"/>
      <c r="D94" s="6">
        <v>1</v>
      </c>
    </row>
    <row r="95" spans="1:4" x14ac:dyDescent="0.3">
      <c r="A95" s="4">
        <v>69</v>
      </c>
      <c r="B95" s="6">
        <v>7</v>
      </c>
      <c r="C95" s="6"/>
      <c r="D95" s="6">
        <v>7</v>
      </c>
    </row>
    <row r="96" spans="1:4" x14ac:dyDescent="0.3">
      <c r="A96" s="4">
        <v>70</v>
      </c>
      <c r="B96" s="6">
        <v>3</v>
      </c>
      <c r="C96" s="6">
        <v>1</v>
      </c>
      <c r="D96" s="6">
        <v>4</v>
      </c>
    </row>
    <row r="97" spans="1:4" x14ac:dyDescent="0.3">
      <c r="A97" s="4">
        <v>71</v>
      </c>
      <c r="B97" s="6">
        <v>1</v>
      </c>
      <c r="C97" s="6"/>
      <c r="D97" s="6">
        <v>1</v>
      </c>
    </row>
    <row r="98" spans="1:4" x14ac:dyDescent="0.3">
      <c r="A98" s="4">
        <v>72</v>
      </c>
      <c r="B98" s="6"/>
      <c r="C98" s="6">
        <v>1</v>
      </c>
      <c r="D98" s="6">
        <v>1</v>
      </c>
    </row>
    <row r="99" spans="1:4" x14ac:dyDescent="0.3">
      <c r="A99" s="4">
        <v>73</v>
      </c>
      <c r="B99" s="6">
        <v>1</v>
      </c>
      <c r="C99" s="6">
        <v>1</v>
      </c>
      <c r="D99" s="6">
        <v>2</v>
      </c>
    </row>
    <row r="100" spans="1:4" x14ac:dyDescent="0.3">
      <c r="A100" s="4">
        <v>78</v>
      </c>
      <c r="B100" s="6"/>
      <c r="C100" s="6">
        <v>1</v>
      </c>
      <c r="D100" s="6">
        <v>1</v>
      </c>
    </row>
    <row r="101" spans="1:4" x14ac:dyDescent="0.3">
      <c r="A101" s="4">
        <v>80</v>
      </c>
      <c r="B101" s="6">
        <v>1</v>
      </c>
      <c r="C101" s="6"/>
      <c r="D101" s="6">
        <v>1</v>
      </c>
    </row>
    <row r="102" spans="1:4" x14ac:dyDescent="0.3">
      <c r="A102" s="4">
        <v>89</v>
      </c>
      <c r="B102" s="6">
        <v>1</v>
      </c>
      <c r="C102" s="6"/>
      <c r="D102" s="6">
        <v>1</v>
      </c>
    </row>
    <row r="103" spans="1:4" x14ac:dyDescent="0.3">
      <c r="A103" s="4" t="s">
        <v>43</v>
      </c>
      <c r="B103" s="6">
        <v>307</v>
      </c>
      <c r="C103" s="6">
        <v>231</v>
      </c>
      <c r="D103" s="6">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A79F-468A-4323-A39A-7EC633C3D071}">
  <dimension ref="A1:P6"/>
  <sheetViews>
    <sheetView showGridLines="0" tabSelected="1" zoomScale="80" workbookViewId="0">
      <selection activeCell="S11" sqref="S11"/>
    </sheetView>
  </sheetViews>
  <sheetFormatPr defaultRowHeight="14.4" x14ac:dyDescent="0.3"/>
  <sheetData>
    <row r="1" spans="1:16" ht="14.4" customHeight="1" x14ac:dyDescent="0.3">
      <c r="A1" s="7" t="s">
        <v>51</v>
      </c>
      <c r="B1" s="7"/>
      <c r="C1" s="7"/>
      <c r="D1" s="7"/>
      <c r="E1" s="7"/>
      <c r="F1" s="7"/>
      <c r="G1" s="7"/>
      <c r="H1" s="7"/>
      <c r="I1" s="7"/>
      <c r="J1" s="7"/>
      <c r="K1" s="7"/>
      <c r="L1" s="7"/>
      <c r="M1" s="7"/>
      <c r="N1" s="7"/>
      <c r="O1" s="7"/>
      <c r="P1" s="7"/>
    </row>
    <row r="2" spans="1:16" ht="14.4" customHeight="1" x14ac:dyDescent="0.3">
      <c r="A2" s="7"/>
      <c r="B2" s="7"/>
      <c r="C2" s="7"/>
      <c r="D2" s="7"/>
      <c r="E2" s="7"/>
      <c r="F2" s="7"/>
      <c r="G2" s="7"/>
      <c r="H2" s="7"/>
      <c r="I2" s="7"/>
      <c r="J2" s="7"/>
      <c r="K2" s="7"/>
      <c r="L2" s="7"/>
      <c r="M2" s="7"/>
      <c r="N2" s="7"/>
      <c r="O2" s="7"/>
      <c r="P2" s="7"/>
    </row>
    <row r="3" spans="1:16" ht="14.4" customHeight="1" x14ac:dyDescent="0.3">
      <c r="A3" s="7"/>
      <c r="B3" s="7"/>
      <c r="C3" s="7"/>
      <c r="D3" s="7"/>
      <c r="E3" s="7"/>
      <c r="F3" s="7"/>
      <c r="G3" s="7"/>
      <c r="H3" s="7"/>
      <c r="I3" s="7"/>
      <c r="J3" s="7"/>
      <c r="K3" s="7"/>
      <c r="L3" s="7"/>
      <c r="M3" s="7"/>
      <c r="N3" s="7"/>
      <c r="O3" s="7"/>
      <c r="P3" s="7"/>
    </row>
    <row r="4" spans="1:16" ht="14.4" customHeight="1" x14ac:dyDescent="0.3">
      <c r="A4" s="7"/>
      <c r="B4" s="7"/>
      <c r="C4" s="7"/>
      <c r="D4" s="7"/>
      <c r="E4" s="7"/>
      <c r="F4" s="7"/>
      <c r="G4" s="7"/>
      <c r="H4" s="7"/>
      <c r="I4" s="7"/>
      <c r="J4" s="7"/>
      <c r="K4" s="7"/>
      <c r="L4" s="7"/>
      <c r="M4" s="7"/>
      <c r="N4" s="7"/>
      <c r="O4" s="7"/>
      <c r="P4" s="7"/>
    </row>
    <row r="5" spans="1:16" ht="14.4" customHeight="1" x14ac:dyDescent="0.3">
      <c r="A5" s="7"/>
      <c r="B5" s="7"/>
      <c r="C5" s="7"/>
      <c r="D5" s="7"/>
      <c r="E5" s="7"/>
      <c r="F5" s="7"/>
      <c r="G5" s="7"/>
      <c r="H5" s="7"/>
      <c r="I5" s="7"/>
      <c r="J5" s="7"/>
      <c r="K5" s="7"/>
      <c r="L5" s="7"/>
      <c r="M5" s="7"/>
      <c r="N5" s="7"/>
      <c r="O5" s="7"/>
      <c r="P5" s="7"/>
    </row>
    <row r="6" spans="1:16" ht="14.4" customHeight="1" x14ac:dyDescent="0.3">
      <c r="A6" s="7"/>
      <c r="B6" s="7"/>
      <c r="C6" s="7"/>
      <c r="D6" s="7"/>
      <c r="E6" s="7"/>
      <c r="F6" s="7"/>
      <c r="G6" s="7"/>
      <c r="H6" s="7"/>
      <c r="I6" s="7"/>
      <c r="J6" s="7"/>
      <c r="K6" s="7"/>
      <c r="L6" s="7"/>
      <c r="M6" s="7"/>
      <c r="N6" s="7"/>
      <c r="O6" s="7"/>
      <c r="P6" s="7"/>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Chanchalla Manju</cp:lastModifiedBy>
  <dcterms:created xsi:type="dcterms:W3CDTF">2022-03-18T02:50:57Z</dcterms:created>
  <dcterms:modified xsi:type="dcterms:W3CDTF">2026-10-11T18:22:33Z</dcterms:modified>
</cp:coreProperties>
</file>